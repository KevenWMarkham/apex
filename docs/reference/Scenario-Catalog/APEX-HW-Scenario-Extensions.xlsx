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New HW Scenarios" sheetId="2" state="visible" r:id="rId4"/>
    <sheet name="Hybrid Account Profi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<sst xmlns="http://schemas.openxmlformats.org/spreadsheetml/2006/main" count="228" uniqueCount="179">
  <si>
    <t xml:space="preserve">APEX HW Scenario Extensions</t>
  </si>
  <si>
    <t xml:space="preserve">Companion to APEX-Scenario-Chains.xlsx · v1.5</t>
  </si>
  <si>
    <t xml:space="preserve">Purpose</t>
  </si>
  <si>
    <t xml:space="preserve">Closes the hardware-lifecycle gap in the APEX scenario library for hybrid hardware-software accounts.</t>
  </si>
  <si>
    <t xml:space="preserve">Why this matters</t>
  </si>
  <si>
    <t xml:space="preserve">TMT-TEC-04 (51 scenarios) is SaaS/software-co flavored: build pipelines, feature flags, cloud cost, DevRel, churn.</t>
  </si>
  <si>
    <t xml:space="preserve">It has effectively zero coverage for hardware lifecycle: warranty, RMA, configure-to-order, installed-base health,</t>
  </si>
  <si>
    <t xml:space="preserve">field service, channel sell-through, component allocation, manufacturing-test yield, EOL planning, reverse logistics.</t>
  </si>
  <si>
    <t xml:space="preserve">For HPE, Dell, Cisco, NetApp, Pure, Juniper, Lenovo, NVIDIA, AMD, Intel, Micron — that gap is most of the P&amp;L.</t>
  </si>
  <si>
    <t xml:space="preserve">Contents</t>
  </si>
  <si>
    <t xml:space="preserve">   Tab 1 · New HW Scenarios — 20 drop-in scenarios, same 9-column structure as Scenario Library</t>
  </si>
  <si>
    <t xml:space="preserve">              numbered 746–765, service code TMT-TEC-HW-05 (new), spans 7 existing domains</t>
  </si>
  <si>
    <t xml:space="preserve">   Tab 2 · Hybrid Account Profiles — 3 archetypes (HW+aaS, Semiconductor, HW-only)</t>
  </si>
  <si>
    <t xml:space="preserve">              plus HPE worked example showing cross-practice scenario pull</t>
  </si>
  <si>
    <t xml:space="preserve">Drop-in instructions</t>
  </si>
  <si>
    <t xml:space="preserve">   1. Append rows 746-765 from Tab 1 directly to the Scenario Library sheet of APEX-Scenario-Chains.xlsx</t>
  </si>
  <si>
    <t xml:space="preserve">   2. Add TMT-TEC-HW-05 to the service-code reference (39 service IDs → 40)</t>
  </si>
  <si>
    <t xml:space="preserve">   3. Update Summary tab counts: Total scenarios 745 → 765</t>
  </si>
  <si>
    <t xml:space="preserve">   4. For HPE-archetype accounts, point account intelligence to the curated pull defined in Tab 2 Section B</t>
  </si>
  <si>
    <t xml:space="preserve">Independence posture</t>
  </si>
  <si>
    <t xml:space="preserve">Consistent with master file: uses "Deloitte's Microsoft practice," "DMTSP," "Microsoft platform capabilities,"</t>
  </si>
  <si>
    <t xml:space="preserve">"Microsoft-native deployment." Terms "partner," "alliance," "strategic alliance" do not appear in scenario copy.</t>
  </si>
  <si>
    <t xml:space="preserve">Source</t>
  </si>
  <si>
    <t xml:space="preserve">Built against APEX-Scenario-Chains.xlsx v1.5 · 2026-05-13</t>
  </si>
  <si>
    <t xml:space="preserve">#</t>
  </si>
  <si>
    <t xml:space="preserve">Scenario ID</t>
  </si>
  <si>
    <t xml:space="preserve">Title</t>
  </si>
  <si>
    <t xml:space="preserve">Service Code</t>
  </si>
  <si>
    <t xml:space="preserve">Domain</t>
  </si>
  <si>
    <t xml:space="preserve">Schemas</t>
  </si>
  <si>
    <t xml:space="preserve">Brief (the moment)</t>
  </si>
  <si>
    <t xml:space="preserve">KPI / Outcome</t>
  </si>
  <si>
    <t xml:space="preserve">Featured?</t>
  </si>
  <si>
    <t xml:space="preserve">tmt-hw-warranty-claim-analytics</t>
  </si>
  <si>
    <t xml:space="preserve">Warranty-claim analytics</t>
  </si>
  <si>
    <t xml:space="preserve">TMT-TEC-HW-05</t>
  </si>
  <si>
    <t xml:space="preserve">Quality &amp; Compliance</t>
  </si>
  <si>
    <t xml:space="preserve">Warranty-cost forecasting with lemon-batch and field-failure clustering for accrual right-sizing.</t>
  </si>
  <si>
    <t xml:space="preserve">−22% warranty accrual</t>
  </si>
  <si>
    <t xml:space="preserve">Catalog</t>
  </si>
  <si>
    <t xml:space="preserve">tmt-hw-rma-disposition-automation</t>
  </si>
  <si>
    <t xml:space="preserve">RMA disposition automation</t>
  </si>
  <si>
    <t xml:space="preserve">Asset Maintenance</t>
  </si>
  <si>
    <t xml:space="preserve">Return-merchandise-authorization triage across refurbish, scrap, return-to-vendor, and credit paths.</t>
  </si>
  <si>
    <t xml:space="preserve">−38% RMA cycle time</t>
  </si>
  <si>
    <t xml:space="preserve">tmt-hw-configure-to-order-optimization</t>
  </si>
  <si>
    <t xml:space="preserve">Configure-to-order optimization</t>
  </si>
  <si>
    <t xml:space="preserve">Operations &amp; Workforce</t>
  </si>
  <si>
    <t xml:space="preserve">BOM validation, manufacturability scoring, and lead-time prediction at quote-to-order.</t>
  </si>
  <si>
    <t xml:space="preserve">−24% CTO lead time</t>
  </si>
  <si>
    <t xml:space="preserve">tmt-hw-installed-base-health-scoring</t>
  </si>
  <si>
    <t xml:space="preserve">Installed-base health scoring</t>
  </si>
  <si>
    <t xml:space="preserve">Fleet-wide predictive health scoring across installed hardware using telemetry and field-failure history.</t>
  </si>
  <si>
    <t xml:space="preserve">+18pp uptime</t>
  </si>
  <si>
    <t xml:space="preserve">⭐ Featured</t>
  </si>
  <si>
    <t xml:space="preserve">tmt-hw-field-engineer-dispatch</t>
  </si>
  <si>
    <t xml:space="preserve">Field-engineer dispatch optimization</t>
  </si>
  <si>
    <t xml:space="preserve">Skills-and-parts-aware field-service dispatch for break-fix and contracted maintenance.</t>
  </si>
  <si>
    <t xml:space="preserve">+22% first-time-fix</t>
  </si>
  <si>
    <t xml:space="preserve">tmt-hw-channel-sell-through-analytics</t>
  </si>
  <si>
    <t xml:space="preserve">Channel sell-through analytics</t>
  </si>
  <si>
    <t xml:space="preserve">Channel · Partner · Dealer</t>
  </si>
  <si>
    <t xml:space="preserve">Distributor and reseller velocity tracking with rebate and MDF effectiveness analysis.</t>
  </si>
  <si>
    <t xml:space="preserve">+14% channel velocity</t>
  </si>
  <si>
    <t xml:space="preserve">tmt-hw-component-allocation-arbitration</t>
  </si>
  <si>
    <t xml:space="preserve">Component-allocation arbitration</t>
  </si>
  <si>
    <t xml:space="preserve">Supply Chain</t>
  </si>
  <si>
    <t xml:space="preserve">Margin-and-strategic-account-weighted arbitration when component supply falls short of order book.</t>
  </si>
  <si>
    <t xml:space="preserve">+$11M margin protection</t>
  </si>
  <si>
    <t xml:space="preserve">tmt-hw-manufacturing-test-yield</t>
  </si>
  <si>
    <t xml:space="preserve">Manufacturing-test yield optimization</t>
  </si>
  <si>
    <t xml:space="preserve">Engineering &amp; R&amp;D</t>
  </si>
  <si>
    <t xml:space="preserve">Functional-test, burn-in, and BIST yield analytics with failure-mode root-cause clustering.</t>
  </si>
  <si>
    <t xml:space="preserve">+3.2pp first-pass yield</t>
  </si>
  <si>
    <t xml:space="preserve">tmt-hw-product-eol-planning</t>
  </si>
  <si>
    <t xml:space="preserve">Product end-of-life planning</t>
  </si>
  <si>
    <t xml:space="preserve">Last-time-buy, EOSL cadence, and successor-product migration planning per SKU.</t>
  </si>
  <si>
    <t xml:space="preserve">−18% EOL inventory</t>
  </si>
  <si>
    <t xml:space="preserve">tmt-hw-spare-parts-inventory-optimization</t>
  </si>
  <si>
    <t xml:space="preserve">Spare-parts inventory optimization</t>
  </si>
  <si>
    <t xml:space="preserve">SLA-weighted spare-parts positioning across global service depots.</t>
  </si>
  <si>
    <t xml:space="preserve">−$8M service inventory</t>
  </si>
  <si>
    <t xml:space="preserve">tmt-hw-configuration-drift-detection</t>
  </si>
  <si>
    <t xml:space="preserve">Configuration-drift detection</t>
  </si>
  <si>
    <t xml:space="preserve">Installed-base firmware-and-config drift detection vs supported baseline.</t>
  </si>
  <si>
    <t xml:space="preserve">−34% support escalations</t>
  </si>
  <si>
    <t xml:space="preserve">tmt-hw-entitlement-reconciliation</t>
  </si>
  <si>
    <t xml:space="preserve">Entitlement reconciliation</t>
  </si>
  <si>
    <t xml:space="preserve">Pricing &amp; Revenue</t>
  </si>
  <si>
    <t xml:space="preserve">Hardware-bundled software entitlement tracking with under-utilization and upgrade signals.</t>
  </si>
  <si>
    <t xml:space="preserve">+$6.2M license capture</t>
  </si>
  <si>
    <t xml:space="preserve">tmt-hw-trade-in-valuation</t>
  </si>
  <si>
    <t xml:space="preserve">Trade-in valuation</t>
  </si>
  <si>
    <t xml:space="preserve">Used-equipment trade-in valuation for refresh-deal economics and secondary-market routing.</t>
  </si>
  <si>
    <t xml:space="preserve">+14% refresh-deal close rate</t>
  </si>
  <si>
    <t xml:space="preserve">tmt-hw-service-attach-rate-optimization</t>
  </si>
  <si>
    <t xml:space="preserve">Service-attach-rate optimization</t>
  </si>
  <si>
    <t xml:space="preserve">Point-of-quote service-contract attach prediction with margin-optimal recommendation.</t>
  </si>
  <si>
    <t xml:space="preserve">+9pp attach rate</t>
  </si>
  <si>
    <t xml:space="preserve">tmt-hw-reverse-logistics-optimization</t>
  </si>
  <si>
    <t xml:space="preserve">Reverse-logistics optimization</t>
  </si>
  <si>
    <t xml:space="preserve">Return collection, refurb-routing, and consolidation across global reverse-logistics network.</t>
  </si>
  <si>
    <t xml:space="preserve">−18% reverse-logistics cost</t>
  </si>
  <si>
    <t xml:space="preserve">tmt-hw-field-failure-root-cause</t>
  </si>
  <si>
    <t xml:space="preserve">Field-failure root-cause analysis</t>
  </si>
  <si>
    <t xml:space="preserve">Field-failure pattern detection traced to component-batch, manufacturing-line, or design root cause.</t>
  </si>
  <si>
    <t xml:space="preserve">−28% repeat failures</t>
  </si>
  <si>
    <t xml:space="preserve">tmt-hw-channel-partner-enablement-gap</t>
  </si>
  <si>
    <t xml:space="preserve">Channel-partner enablement gap</t>
  </si>
  <si>
    <t xml:space="preserve">Partner-skill and certification-gap analysis tied to product-line attach and deal velocity.</t>
  </si>
  <si>
    <t xml:space="preserve">+18% partner-certified pipeline</t>
  </si>
  <si>
    <t xml:space="preserve">tmt-hw-circularity-reporting</t>
  </si>
  <si>
    <t xml:space="preserve">Circularity and sustainability reporting</t>
  </si>
  <si>
    <t xml:space="preserve">Per-unit lifecycle carbon, recycled-content, and circularity reporting for regulatory and customer demand.</t>
  </si>
  <si>
    <t xml:space="preserve">100% scope-3 audit-ready</t>
  </si>
  <si>
    <t xml:space="preserve">tmt-hw-quote-to-order-cycle-time</t>
  </si>
  <si>
    <t xml:space="preserve">Quote-to-order cycle time</t>
  </si>
  <si>
    <t xml:space="preserve">Complex-configuration quote drafting, approval routing, and order-conversion acceleration.</t>
  </si>
  <si>
    <t xml:space="preserve">−42% QTO cycle</t>
  </si>
  <si>
    <t xml:space="preserve">tmt-hw-installed-base-refresh-propensity</t>
  </si>
  <si>
    <t xml:space="preserve">Installed-base refresh propensity</t>
  </si>
  <si>
    <t xml:space="preserve">Customer Experience</t>
  </si>
  <si>
    <t xml:space="preserve">Refresh-likelihood scoring across installed base for proactive renewal and upgrade campaigns.</t>
  </si>
  <si>
    <t xml:space="preserve">+24% refresh capture</t>
  </si>
  <si>
    <t xml:space="preserve">Hybrid Account Profile Mapping</t>
  </si>
  <si>
    <t xml:space="preserve">Default APEX practice mapping assigns hardware-software hybrids to TMT only, which is heavily SaaS/media/telco-flavored. The archetypes below define which practice + service-code buckets should be sourced for each hybrid account type. HPE worked example follows.</t>
  </si>
  <si>
    <t xml:space="preserve">Section A · Archetype definitions</t>
  </si>
  <si>
    <t xml:space="preserve">Archetype</t>
  </si>
  <si>
    <t xml:space="preserve">Example Accounts</t>
  </si>
  <si>
    <t xml:space="preserve">Source Practices / Service Codes</t>
  </si>
  <si>
    <t xml:space="preserve">Why It Matters</t>
  </si>
  <si>
    <t xml:space="preserve">Microsoft Platform Anchor</t>
  </si>
  <si>
    <t xml:space="preserve">Hardware OEM + As-a-Service</t>
  </si>
  <si>
    <t xml:space="preserve">HPE, Dell Technologies, Cisco, NetApp, Pure Storage, Juniper, HPE Aruba</t>
  </si>
  <si>
    <t xml:space="preserve">TMT-TEC-04 (software/SaaS) · NEW TMT-TEC-HW-05 (HW lifecycle) · ICE manufacturing · RC/ICE supply-chain subset · ER asset-maintenance patterns · Channel · Partner · Dealer</t>
  </si>
  <si>
    <t xml:space="preserve">Revenue is hybrid HW transaction + recurring as-a-service; manufacturing, channel, and installed-base support carry the margin. Sourcing only from TMT-TEC-04 misses 60%+ of P&amp;L.</t>
  </si>
  <si>
    <t xml:space="preserve">Fabric (mfg + supply-chain telemetry) · D365 + Power Pages (channel/partner) · Azure IoT/Arc (installed base) · Foundry + Copilot (software side)</t>
  </si>
  <si>
    <t xml:space="preserve">Pure-Play Semiconductor</t>
  </si>
  <si>
    <t xml:space="preserve">NVIDIA, AMD, Intel, Micron, Applied Materials, Lam Research, KLA</t>
  </si>
  <si>
    <t xml:space="preserve">NEW TMT-TEC-HW-05 (HW lifecycle) · ICE Engineering &amp; R&amp;D · ICE manufacturing · RC/ICE supply-chain · TMT-TEC-04 (developer/ecosystem subset only)</t>
  </si>
  <si>
    <t xml:space="preserve">EDA, fab yield, and allocation are the business. Software-developer ecosystem scenarios apply only to CUDA-style ecosystem plays. Channel through OEMs not direct.</t>
  </si>
  <si>
    <t xml:space="preserve">Fabric + Azure HPC (EDA, fab) · Foundry (CUDA-equivalent dev experience) · Purview (IP protection)</t>
  </si>
  <si>
    <t xml:space="preserve">Hardware-Only OEM</t>
  </si>
  <si>
    <t xml:space="preserve">Lenovo, Supermicro, Western Digital, Seagate, commodity-tier ODMs</t>
  </si>
  <si>
    <t xml:space="preserve">NEW TMT-TEC-HW-05 (HW lifecycle) · ICE manufacturing · RC/ICE supply-chain · Channel · Partner · Dealer · ER asset-maintenance patterns</t>
  </si>
  <si>
    <t xml:space="preserve">Thin-margin HW; cost discipline, supply chain, and channel velocity drive P&amp;L. Service/as-a-service ambitions exist but immature — do not over-index TMT-TEC-04.</t>
  </si>
  <si>
    <t xml:space="preserve">Fabric (manufacturing + supply chain) · D365 (channel) · Azure cost controls · minimal Foundry until SW maturity</t>
  </si>
  <si>
    <t xml:space="preserve">Section B · HPE worked example — cross-practice scenario pull</t>
  </si>
  <si>
    <t xml:space="preserve">Domain Bucket (HPE)</t>
  </si>
  <si>
    <t xml:space="preserve">Source Practice + Service Code</t>
  </si>
  <si>
    <t xml:space="preserve">Approx Scenario Count</t>
  </si>
  <si>
    <t xml:space="preserve">Representative Scenarios</t>
  </si>
  <si>
    <t xml:space="preserve">Microsoft Platform Play</t>
  </si>
  <si>
    <t xml:space="preserve">GreenLake / Aruba Central / Ezmeral SW side</t>
  </si>
  <si>
    <t xml:space="preserve">TMT-TEC-04 (Engineering &amp; R&amp;D, curated subset)</t>
  </si>
  <si>
    <t xml:space="preserve">cloud-cost-anomaly-detection · feature-adoption-analysis · customer-health-scoring · deployment-risk-scoring · code-review-assistant · churn-intervention-playbooks</t>
  </si>
  <si>
    <t xml:space="preserve">Azure AI Foundry · Copilot for engineers · Azure cost management · Fabric for product telemetry</t>
  </si>
  <si>
    <t xml:space="preserve">Hardware lifecycle (ProLiant, Alletra, Aruba, Cray)</t>
  </si>
  <si>
    <t xml:space="preserve">NEW TMT-TEC-HW-05</t>
  </si>
  <si>
    <t xml:space="preserve">installed-base-health-scoring · warranty-claim-analytics · RMA-disposition-automation · field-engineer-dispatch · service-attach-rate-optimization · entitlement-reconciliation</t>
  </si>
  <si>
    <t xml:space="preserve">Azure IoT + Arc (telemetry) · Fabric (warranty + field-failure analytics) · D365 Field Service</t>
  </si>
  <si>
    <t xml:space="preserve">Manufacturing operations</t>
  </si>
  <si>
    <t xml:space="preserve">ICE manufacturing scenarios (re-skinned)</t>
  </si>
  <si>
    <t xml:space="preserve">manufacturing-yield-improvement · OEE · line-throughput-optimization · quality-defect-prediction · production-scheduling</t>
  </si>
  <si>
    <t xml:space="preserve">Fabric (mfg telemetry) · Azure IoT (line sensors) · Foundry (yield-prediction agents)</t>
  </si>
  <si>
    <t xml:space="preserve">Supply chain — component allocation, logistics</t>
  </si>
  <si>
    <t xml:space="preserve">RC/ICE Operations &amp; Workforce supply-chain subset + NEW TMT-TEC-HW-05</t>
  </si>
  <si>
    <t xml:space="preserve">component-allocation-arbitration · spare-parts-inventory-optimization · reverse-logistics-optimization · supplier-OTIF-monitoring · dock-scheduling-optimization · safety-stock-optimization</t>
  </si>
  <si>
    <t xml:space="preserve">Fabric (supply-chain digital twin) · D365 Supply Chain Mgmt · Azure ML (allocation)</t>
  </si>
  <si>
    <t xml:space="preserve">Channel and distribution (~70% of HPE revenue)</t>
  </si>
  <si>
    <t xml:space="preserve">Channel · Partner · Dealer (all 10) + NEW TMT-TEC-HW-05 channel scenarios</t>
  </si>
  <si>
    <t xml:space="preserve">channel-sell-through-analytics · channel-partner-enablement-gap · dealer-performance-scorecard · co-op-marketing-effectiveness · partner-rebate-management</t>
  </si>
  <si>
    <t xml:space="preserve">D365 + Power Pages (partner portal) · Fabric (channel analytics) · Copilot Studio (partner enablement agents)</t>
  </si>
  <si>
    <t xml:space="preserve">Installed base support and renewal</t>
  </si>
  <si>
    <t xml:space="preserve">ER Asset-Maintenance patterns (re-skinned) + NEW TMT-TEC-HW-05</t>
  </si>
  <si>
    <t xml:space="preserve">predictive-maintenance · configuration-drift-detection · installed-base-refresh-propensity · field-failure-root-cause · spare-parts-routing</t>
  </si>
  <si>
    <t xml:space="preserve">Azure IoT/Arc · Fabric (telemetry lake) · Foundry (predictive agents) · D365 Field Service</t>
  </si>
  <si>
    <t xml:space="preserve">Total curated HPE scenario set</t>
  </si>
  <si>
    <t xml:space="preserve">~84 scenarios drawn across 5 practices + 1 new service code, vs 127 if only TMT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</si>
</sst>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5933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2E59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2E5933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5933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5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4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4" t="s">
        <v>19</v>
      </c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3"/>
    </row>
    <row r="29" customFormat="false" ht="15" hidden="false" customHeight="false" outlineLevel="0" collapsed="false">
      <c r="A29" s="4" t="s">
        <v>22</v>
      </c>
    </row>
    <row r="30" customFormat="false" ht="15" hidden="false" customHeight="false" outlineLevel="0" collapsed="false">
      <c r="A30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70"/>
    <col collapsed="false" customWidth="true" hidden="false" outlineLevel="0" max="8" min="8" style="0" width="24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</row>
    <row r="2" customFormat="false" ht="23.85" hidden="false" customHeight="false" outlineLevel="0" collapsed="false">
      <c r="A2" s="6" t="n">
        <v>746</v>
      </c>
      <c r="B2" s="6" t="s">
        <v>33</v>
      </c>
      <c r="C2" s="6" t="s">
        <v>34</v>
      </c>
      <c r="D2" s="6" t="s">
        <v>35</v>
      </c>
      <c r="E2" s="6" t="s">
        <v>36</v>
      </c>
      <c r="F2" s="6"/>
      <c r="G2" s="6" t="s">
        <v>37</v>
      </c>
      <c r="H2" s="6" t="s">
        <v>38</v>
      </c>
      <c r="I2" s="6" t="s">
        <v>39</v>
      </c>
    </row>
    <row r="3" customFormat="false" ht="23.85" hidden="false" customHeight="false" outlineLevel="0" collapsed="false">
      <c r="A3" s="6" t="n">
        <v>747</v>
      </c>
      <c r="B3" s="6" t="s">
        <v>40</v>
      </c>
      <c r="C3" s="6" t="s">
        <v>41</v>
      </c>
      <c r="D3" s="6" t="s">
        <v>35</v>
      </c>
      <c r="E3" s="6" t="s">
        <v>42</v>
      </c>
      <c r="F3" s="6"/>
      <c r="G3" s="6" t="s">
        <v>43</v>
      </c>
      <c r="H3" s="6" t="s">
        <v>44</v>
      </c>
      <c r="I3" s="6" t="s">
        <v>39</v>
      </c>
    </row>
    <row r="4" customFormat="false" ht="15" hidden="false" customHeight="false" outlineLevel="0" collapsed="false">
      <c r="A4" s="6" t="n">
        <v>748</v>
      </c>
      <c r="B4" s="6" t="s">
        <v>45</v>
      </c>
      <c r="C4" s="6" t="s">
        <v>46</v>
      </c>
      <c r="D4" s="6" t="s">
        <v>35</v>
      </c>
      <c r="E4" s="6" t="s">
        <v>47</v>
      </c>
      <c r="F4" s="6"/>
      <c r="G4" s="6" t="s">
        <v>48</v>
      </c>
      <c r="H4" s="6" t="s">
        <v>49</v>
      </c>
      <c r="I4" s="6" t="s">
        <v>39</v>
      </c>
    </row>
    <row r="5" customFormat="false" ht="23.85" hidden="false" customHeight="false" outlineLevel="0" collapsed="false">
      <c r="A5" s="6" t="n">
        <v>749</v>
      </c>
      <c r="B5" s="6" t="s">
        <v>50</v>
      </c>
      <c r="C5" s="6" t="s">
        <v>51</v>
      </c>
      <c r="D5" s="6" t="s">
        <v>35</v>
      </c>
      <c r="E5" s="6" t="s">
        <v>42</v>
      </c>
      <c r="F5" s="6"/>
      <c r="G5" s="6" t="s">
        <v>52</v>
      </c>
      <c r="H5" s="6" t="s">
        <v>53</v>
      </c>
      <c r="I5" s="6" t="s">
        <v>54</v>
      </c>
    </row>
    <row r="6" customFormat="false" ht="15" hidden="false" customHeight="false" outlineLevel="0" collapsed="false">
      <c r="A6" s="6" t="n">
        <v>750</v>
      </c>
      <c r="B6" s="6" t="s">
        <v>55</v>
      </c>
      <c r="C6" s="6" t="s">
        <v>56</v>
      </c>
      <c r="D6" s="6" t="s">
        <v>35</v>
      </c>
      <c r="E6" s="6" t="s">
        <v>47</v>
      </c>
      <c r="F6" s="6"/>
      <c r="G6" s="6" t="s">
        <v>57</v>
      </c>
      <c r="H6" s="6" t="s">
        <v>58</v>
      </c>
      <c r="I6" s="6" t="s">
        <v>39</v>
      </c>
    </row>
    <row r="7" customFormat="false" ht="15" hidden="false" customHeight="false" outlineLevel="0" collapsed="false">
      <c r="A7" s="6" t="n">
        <v>751</v>
      </c>
      <c r="B7" s="6" t="s">
        <v>59</v>
      </c>
      <c r="C7" s="6" t="s">
        <v>60</v>
      </c>
      <c r="D7" s="6" t="s">
        <v>35</v>
      </c>
      <c r="E7" s="6" t="s">
        <v>61</v>
      </c>
      <c r="F7" s="6"/>
      <c r="G7" s="6" t="s">
        <v>62</v>
      </c>
      <c r="H7" s="6" t="s">
        <v>63</v>
      </c>
      <c r="I7" s="6" t="s">
        <v>39</v>
      </c>
    </row>
    <row r="8" customFormat="false" ht="23.85" hidden="false" customHeight="false" outlineLevel="0" collapsed="false">
      <c r="A8" s="6" t="n">
        <v>752</v>
      </c>
      <c r="B8" s="6" t="s">
        <v>64</v>
      </c>
      <c r="C8" s="6" t="s">
        <v>65</v>
      </c>
      <c r="D8" s="6" t="s">
        <v>35</v>
      </c>
      <c r="E8" s="6" t="s">
        <v>66</v>
      </c>
      <c r="F8" s="6"/>
      <c r="G8" s="6" t="s">
        <v>67</v>
      </c>
      <c r="H8" s="6" t="s">
        <v>68</v>
      </c>
      <c r="I8" s="6" t="s">
        <v>54</v>
      </c>
    </row>
    <row r="9" customFormat="false" ht="23.85" hidden="false" customHeight="false" outlineLevel="0" collapsed="false">
      <c r="A9" s="6" t="n">
        <v>753</v>
      </c>
      <c r="B9" s="6" t="s">
        <v>69</v>
      </c>
      <c r="C9" s="6" t="s">
        <v>70</v>
      </c>
      <c r="D9" s="6" t="s">
        <v>35</v>
      </c>
      <c r="E9" s="6" t="s">
        <v>71</v>
      </c>
      <c r="F9" s="6"/>
      <c r="G9" s="6" t="s">
        <v>72</v>
      </c>
      <c r="H9" s="6" t="s">
        <v>73</v>
      </c>
      <c r="I9" s="6" t="s">
        <v>39</v>
      </c>
    </row>
    <row r="10" customFormat="false" ht="15" hidden="false" customHeight="false" outlineLevel="0" collapsed="false">
      <c r="A10" s="6" t="n">
        <v>754</v>
      </c>
      <c r="B10" s="6" t="s">
        <v>74</v>
      </c>
      <c r="C10" s="6" t="s">
        <v>75</v>
      </c>
      <c r="D10" s="6" t="s">
        <v>35</v>
      </c>
      <c r="E10" s="6" t="s">
        <v>71</v>
      </c>
      <c r="F10" s="6"/>
      <c r="G10" s="6" t="s">
        <v>76</v>
      </c>
      <c r="H10" s="6" t="s">
        <v>77</v>
      </c>
      <c r="I10" s="6" t="s">
        <v>39</v>
      </c>
    </row>
    <row r="11" customFormat="false" ht="15" hidden="false" customHeight="false" outlineLevel="0" collapsed="false">
      <c r="A11" s="6" t="n">
        <v>755</v>
      </c>
      <c r="B11" s="6" t="s">
        <v>78</v>
      </c>
      <c r="C11" s="6" t="s">
        <v>79</v>
      </c>
      <c r="D11" s="6" t="s">
        <v>35</v>
      </c>
      <c r="E11" s="6" t="s">
        <v>66</v>
      </c>
      <c r="F11" s="6"/>
      <c r="G11" s="6" t="s">
        <v>80</v>
      </c>
      <c r="H11" s="6" t="s">
        <v>81</v>
      </c>
      <c r="I11" s="6" t="s">
        <v>39</v>
      </c>
    </row>
    <row r="12" customFormat="false" ht="15" hidden="false" customHeight="false" outlineLevel="0" collapsed="false">
      <c r="A12" s="6" t="n">
        <v>756</v>
      </c>
      <c r="B12" s="6" t="s">
        <v>82</v>
      </c>
      <c r="C12" s="6" t="s">
        <v>83</v>
      </c>
      <c r="D12" s="6" t="s">
        <v>35</v>
      </c>
      <c r="E12" s="6" t="s">
        <v>42</v>
      </c>
      <c r="F12" s="6"/>
      <c r="G12" s="6" t="s">
        <v>84</v>
      </c>
      <c r="H12" s="6" t="s">
        <v>85</v>
      </c>
      <c r="I12" s="6" t="s">
        <v>39</v>
      </c>
    </row>
    <row r="13" customFormat="false" ht="23.85" hidden="false" customHeight="false" outlineLevel="0" collapsed="false">
      <c r="A13" s="6" t="n">
        <v>757</v>
      </c>
      <c r="B13" s="6" t="s">
        <v>86</v>
      </c>
      <c r="C13" s="6" t="s">
        <v>87</v>
      </c>
      <c r="D13" s="6" t="s">
        <v>35</v>
      </c>
      <c r="E13" s="6" t="s">
        <v>88</v>
      </c>
      <c r="F13" s="6"/>
      <c r="G13" s="6" t="s">
        <v>89</v>
      </c>
      <c r="H13" s="6" t="s">
        <v>90</v>
      </c>
      <c r="I13" s="6" t="s">
        <v>39</v>
      </c>
    </row>
    <row r="14" customFormat="false" ht="23.85" hidden="false" customHeight="false" outlineLevel="0" collapsed="false">
      <c r="A14" s="6" t="n">
        <v>758</v>
      </c>
      <c r="B14" s="6" t="s">
        <v>91</v>
      </c>
      <c r="C14" s="6" t="s">
        <v>92</v>
      </c>
      <c r="D14" s="6" t="s">
        <v>35</v>
      </c>
      <c r="E14" s="6" t="s">
        <v>88</v>
      </c>
      <c r="F14" s="6"/>
      <c r="G14" s="6" t="s">
        <v>93</v>
      </c>
      <c r="H14" s="6" t="s">
        <v>94</v>
      </c>
      <c r="I14" s="6" t="s">
        <v>39</v>
      </c>
    </row>
    <row r="15" customFormat="false" ht="15" hidden="false" customHeight="false" outlineLevel="0" collapsed="false">
      <c r="A15" s="6" t="n">
        <v>759</v>
      </c>
      <c r="B15" s="6" t="s">
        <v>95</v>
      </c>
      <c r="C15" s="6" t="s">
        <v>96</v>
      </c>
      <c r="D15" s="6" t="s">
        <v>35</v>
      </c>
      <c r="E15" s="6" t="s">
        <v>88</v>
      </c>
      <c r="F15" s="6"/>
      <c r="G15" s="6" t="s">
        <v>97</v>
      </c>
      <c r="H15" s="6" t="s">
        <v>98</v>
      </c>
      <c r="I15" s="6" t="s">
        <v>39</v>
      </c>
    </row>
    <row r="16" customFormat="false" ht="23.85" hidden="false" customHeight="false" outlineLevel="0" collapsed="false">
      <c r="A16" s="6" t="n">
        <v>760</v>
      </c>
      <c r="B16" s="6" t="s">
        <v>99</v>
      </c>
      <c r="C16" s="6" t="s">
        <v>100</v>
      </c>
      <c r="D16" s="6" t="s">
        <v>35</v>
      </c>
      <c r="E16" s="6" t="s">
        <v>66</v>
      </c>
      <c r="F16" s="6"/>
      <c r="G16" s="6" t="s">
        <v>101</v>
      </c>
      <c r="H16" s="6" t="s">
        <v>102</v>
      </c>
      <c r="I16" s="6" t="s">
        <v>39</v>
      </c>
    </row>
    <row r="17" customFormat="false" ht="23.85" hidden="false" customHeight="false" outlineLevel="0" collapsed="false">
      <c r="A17" s="6" t="n">
        <v>761</v>
      </c>
      <c r="B17" s="6" t="s">
        <v>103</v>
      </c>
      <c r="C17" s="6" t="s">
        <v>104</v>
      </c>
      <c r="D17" s="6" t="s">
        <v>35</v>
      </c>
      <c r="E17" s="6" t="s">
        <v>36</v>
      </c>
      <c r="F17" s="6"/>
      <c r="G17" s="6" t="s">
        <v>105</v>
      </c>
      <c r="H17" s="6" t="s">
        <v>106</v>
      </c>
      <c r="I17" s="6" t="s">
        <v>39</v>
      </c>
    </row>
    <row r="18" customFormat="false" ht="23.85" hidden="false" customHeight="false" outlineLevel="0" collapsed="false">
      <c r="A18" s="6" t="n">
        <v>762</v>
      </c>
      <c r="B18" s="6" t="s">
        <v>107</v>
      </c>
      <c r="C18" s="6" t="s">
        <v>108</v>
      </c>
      <c r="D18" s="6" t="s">
        <v>35</v>
      </c>
      <c r="E18" s="6" t="s">
        <v>61</v>
      </c>
      <c r="F18" s="6"/>
      <c r="G18" s="6" t="s">
        <v>109</v>
      </c>
      <c r="H18" s="6" t="s">
        <v>110</v>
      </c>
      <c r="I18" s="6" t="s">
        <v>39</v>
      </c>
    </row>
    <row r="19" customFormat="false" ht="23.85" hidden="false" customHeight="false" outlineLevel="0" collapsed="false">
      <c r="A19" s="6" t="n">
        <v>763</v>
      </c>
      <c r="B19" s="6" t="s">
        <v>111</v>
      </c>
      <c r="C19" s="6" t="s">
        <v>112</v>
      </c>
      <c r="D19" s="6" t="s">
        <v>35</v>
      </c>
      <c r="E19" s="6" t="s">
        <v>36</v>
      </c>
      <c r="F19" s="6"/>
      <c r="G19" s="6" t="s">
        <v>113</v>
      </c>
      <c r="H19" s="6" t="s">
        <v>114</v>
      </c>
      <c r="I19" s="6" t="s">
        <v>39</v>
      </c>
    </row>
    <row r="20" customFormat="false" ht="23.85" hidden="false" customHeight="false" outlineLevel="0" collapsed="false">
      <c r="A20" s="6" t="n">
        <v>764</v>
      </c>
      <c r="B20" s="6" t="s">
        <v>115</v>
      </c>
      <c r="C20" s="6" t="s">
        <v>116</v>
      </c>
      <c r="D20" s="6" t="s">
        <v>35</v>
      </c>
      <c r="E20" s="6" t="s">
        <v>47</v>
      </c>
      <c r="F20" s="6"/>
      <c r="G20" s="6" t="s">
        <v>117</v>
      </c>
      <c r="H20" s="6" t="s">
        <v>118</v>
      </c>
      <c r="I20" s="6" t="s">
        <v>39</v>
      </c>
    </row>
    <row r="21" customFormat="false" ht="23.85" hidden="false" customHeight="false" outlineLevel="0" collapsed="false">
      <c r="A21" s="6" t="n">
        <v>765</v>
      </c>
      <c r="B21" s="6" t="s">
        <v>119</v>
      </c>
      <c r="C21" s="6" t="s">
        <v>120</v>
      </c>
      <c r="D21" s="6" t="s">
        <v>35</v>
      </c>
      <c r="E21" s="6" t="s">
        <v>121</v>
      </c>
      <c r="F21" s="6"/>
      <c r="G21" s="6" t="s">
        <v>122</v>
      </c>
      <c r="H21" s="6" t="s">
        <v>123</v>
      </c>
      <c r="I21" s="6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58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7" t="s">
        <v>124</v>
      </c>
      <c r="B1" s="7"/>
      <c r="C1" s="7"/>
      <c r="D1" s="7"/>
      <c r="E1" s="7"/>
      <c r="F1" s="7"/>
    </row>
    <row r="2" customFormat="false" ht="45" hidden="false" customHeight="true" outlineLevel="0" collapsed="false">
      <c r="A2" s="8" t="s">
        <v>125</v>
      </c>
      <c r="B2" s="8"/>
      <c r="C2" s="8"/>
      <c r="D2" s="8"/>
      <c r="E2" s="8"/>
      <c r="F2" s="8"/>
    </row>
    <row r="4" customFormat="false" ht="15" hidden="false" customHeight="false" outlineLevel="0" collapsed="false">
      <c r="A4" s="4" t="s">
        <v>126</v>
      </c>
    </row>
    <row r="6" customFormat="false" ht="15" hidden="false" customHeight="false" outlineLevel="0" collapsed="false">
      <c r="A6" s="5" t="s">
        <v>127</v>
      </c>
      <c r="B6" s="5" t="s">
        <v>128</v>
      </c>
      <c r="C6" s="5" t="s">
        <v>129</v>
      </c>
      <c r="D6" s="5" t="s">
        <v>130</v>
      </c>
      <c r="E6" s="5" t="s">
        <v>131</v>
      </c>
      <c r="F6" s="5"/>
    </row>
    <row r="7" customFormat="false" ht="84.75" hidden="false" customHeight="true" outlineLevel="0" collapsed="false">
      <c r="A7" s="6" t="s">
        <v>132</v>
      </c>
      <c r="B7" s="6" t="s">
        <v>133</v>
      </c>
      <c r="C7" s="6" t="s">
        <v>134</v>
      </c>
      <c r="D7" s="6" t="s">
        <v>135</v>
      </c>
      <c r="E7" s="6" t="s">
        <v>136</v>
      </c>
      <c r="F7" s="6"/>
    </row>
    <row r="8" customFormat="false" ht="84.75" hidden="false" customHeight="true" outlineLevel="0" collapsed="false">
      <c r="A8" s="6" t="s">
        <v>137</v>
      </c>
      <c r="B8" s="6" t="s">
        <v>138</v>
      </c>
      <c r="C8" s="6" t="s">
        <v>139</v>
      </c>
      <c r="D8" s="6" t="s">
        <v>140</v>
      </c>
      <c r="E8" s="6" t="s">
        <v>141</v>
      </c>
      <c r="F8" s="6"/>
    </row>
    <row r="9" customFormat="false" ht="84.75" hidden="false" customHeight="true" outlineLevel="0" collapsed="false">
      <c r="A9" s="6" t="s">
        <v>142</v>
      </c>
      <c r="B9" s="6" t="s">
        <v>143</v>
      </c>
      <c r="C9" s="6" t="s">
        <v>144</v>
      </c>
      <c r="D9" s="6" t="s">
        <v>145</v>
      </c>
      <c r="E9" s="6" t="s">
        <v>146</v>
      </c>
      <c r="F9" s="6"/>
    </row>
    <row r="10" customFormat="false" ht="15" hidden="false" customHeight="false" outlineLevel="0" collapsed="false">
      <c r="A10" s="4" t="s">
        <v>147</v>
      </c>
    </row>
    <row r="13" customFormat="false" ht="15" hidden="false" customHeight="false" outlineLevel="0" collapsed="false">
      <c r="A13" s="5" t="s">
        <v>148</v>
      </c>
      <c r="B13" s="5" t="s">
        <v>149</v>
      </c>
      <c r="C13" s="5" t="s">
        <v>150</v>
      </c>
      <c r="D13" s="5" t="s">
        <v>151</v>
      </c>
      <c r="E13" s="5" t="s">
        <v>152</v>
      </c>
      <c r="F13" s="5"/>
    </row>
    <row r="14" customFormat="false" ht="75" hidden="false" customHeight="true" outlineLevel="0" collapsed="false">
      <c r="A14" s="6" t="s">
        <v>153</v>
      </c>
      <c r="B14" s="6" t="s">
        <v>154</v>
      </c>
      <c r="C14" s="6" t="n">
        <v>22</v>
      </c>
      <c r="D14" s="6" t="s">
        <v>155</v>
      </c>
      <c r="E14" s="6" t="s">
        <v>156</v>
      </c>
      <c r="F14" s="6"/>
    </row>
    <row r="15" customFormat="false" ht="75" hidden="false" customHeight="true" outlineLevel="0" collapsed="false">
      <c r="A15" s="6" t="s">
        <v>157</v>
      </c>
      <c r="B15" s="6" t="s">
        <v>158</v>
      </c>
      <c r="C15" s="6" t="n">
        <v>20</v>
      </c>
      <c r="D15" s="6" t="s">
        <v>159</v>
      </c>
      <c r="E15" s="6" t="s">
        <v>160</v>
      </c>
      <c r="F15" s="6"/>
    </row>
    <row r="16" customFormat="false" ht="75" hidden="false" customHeight="true" outlineLevel="0" collapsed="false">
      <c r="A16" s="6" t="s">
        <v>161</v>
      </c>
      <c r="B16" s="6" t="s">
        <v>162</v>
      </c>
      <c r="C16" s="6" t="n">
        <v>12</v>
      </c>
      <c r="D16" s="6" t="s">
        <v>163</v>
      </c>
      <c r="E16" s="6" t="s">
        <v>164</v>
      </c>
      <c r="F16" s="6"/>
    </row>
    <row r="17" customFormat="false" ht="75" hidden="false" customHeight="true" outlineLevel="0" collapsed="false">
      <c r="A17" s="6" t="s">
        <v>165</v>
      </c>
      <c r="B17" s="6" t="s">
        <v>166</v>
      </c>
      <c r="C17" s="6" t="n">
        <v>10</v>
      </c>
      <c r="D17" s="6" t="s">
        <v>167</v>
      </c>
      <c r="E17" s="6" t="s">
        <v>168</v>
      </c>
      <c r="F17" s="6"/>
    </row>
    <row r="18" customFormat="false" ht="75" hidden="false" customHeight="true" outlineLevel="0" collapsed="false">
      <c r="A18" s="6" t="s">
        <v>169</v>
      </c>
      <c r="B18" s="6" t="s">
        <v>170</v>
      </c>
      <c r="C18" s="6" t="n">
        <v>12</v>
      </c>
      <c r="D18" s="6" t="s">
        <v>171</v>
      </c>
      <c r="E18" s="6" t="s">
        <v>172</v>
      </c>
      <c r="F18" s="6"/>
    </row>
    <row r="19" customFormat="false" ht="75" hidden="false" customHeight="true" outlineLevel="0" collapsed="false">
      <c r="A19" s="6" t="s">
        <v>173</v>
      </c>
      <c r="B19" s="6" t="s">
        <v>174</v>
      </c>
      <c r="C19" s="6" t="n">
        <v>8</v>
      </c>
      <c r="D19" s="6" t="s">
        <v>175</v>
      </c>
      <c r="E19" s="6" t="s">
        <v>176</v>
      </c>
      <c r="F19" s="6"/>
    </row>
    <row r="20" customFormat="false" ht="23.85" hidden="false" customHeight="false" outlineLevel="0" collapsed="false">
      <c r="A20" s="9" t="s">
        <v>177</v>
      </c>
      <c r="C20" s="10" t="n">
        <f aca="false">SUM(C14:C19)</f>
        <v>84</v>
      </c>
      <c r="D20" s="11" t="s">
        <v>178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2026-05-14T16:29:48Z</dcterms:created>
  <dc:creator>openpyxl</dc:creator>
  <dc:description/>
  <dc:language>en-US</dc:language>
  <cp:lastModifiedBy/>
  <dcterms:modified xsi:type="dcterms:W3CDTF">2026-05-14T16:29:48Z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