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Sensitivity" sheetId="5" state="visible" r:id="rId5"/>
  </sheets>
  <definedNames>
    <definedName name="n_stores_pilot">Inputs!$B$10</definedName>
    <definedName name="n_stores_full">Inputs!$B$11</definedName>
    <definedName name="n_hh_pilot">Inputs!$B$12</definedName>
    <definedName name="n_hh_full">Inputs!$B$13</definedName>
    <definedName name="rev_per_store">Inputs!$B$16</definedName>
    <definedName name="basket">Inputs!$B$17</definedName>
    <definedName name="trips">Inputs!$B$18</definedName>
    <definedName name="gm_pct">Inputs!$B$19</definedName>
    <definedName name="abandon_rate">Inputs!$B$20</definedName>
    <definedName name="oos_rate">Inputs!$B$21</definedName>
    <definedName name="sub_accept_rate">Inputs!$B$22</definedName>
    <definedName name="hh_spend">Inputs!$B$25</definedName>
    <definedName name="churn_rate">Inputs!$B$26</definedName>
    <definedName name="amz_share">Inputs!$B$28</definedName>
    <definedName name="price_lite">Inputs!$B$32</definedName>
    <definedName name="price_chc_lite">Inputs!$B$33</definedName>
    <definedName name="price_std">Inputs!$B$34</definedName>
    <definedName name="price_ent">Inputs!$B$35</definedName>
    <definedName name="price_op_mo">Inputs!$B$36</definedName>
    <definedName name="price_xp">Inputs!$B$37</definedName>
    <definedName name="cfmp_per_store_yr">Inputs!$G$28</definedName>
    <definedName name="chc_per_hh_yr">Inputs!$G$29</definedName>
    <definedName name="tier_lite_blend">Inputs!$G$31</definedName>
    <definedName name="tier_std_blend">Inputs!$G$32</definedName>
    <definedName name="tier_ent_blend">Inputs!$G$33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$#,##0;($#,##0);-"/>
    <numFmt numFmtId="166" formatCode="0.0%;(0.0%);-"/>
    <numFmt numFmtId="167" formatCode="0.0&quot;x&quot;"/>
    <numFmt numFmtId="168" formatCode="0.0&quot;M&quot;"/>
  </numFmts>
  <fonts count="11">
    <font>
      <name val="Calibri"/>
      <family val="2"/>
      <color theme="1"/>
      <sz val="11"/>
      <scheme val="minor"/>
    </font>
    <font>
      <name val="Calibri"/>
      <b val="1"/>
      <color rgb="000E1423"/>
      <sz val="18"/>
    </font>
    <font>
      <name val="Calibri"/>
      <i val="1"/>
      <color rgb="00535B6B"/>
      <sz val="11"/>
    </font>
    <font>
      <name val="Calibri"/>
      <color rgb="000E1423"/>
      <sz val="11"/>
    </font>
    <font>
      <name val="Calibri"/>
      <b val="1"/>
      <color rgb="000E1423"/>
      <sz val="11"/>
    </font>
    <font>
      <name val="Calibri"/>
      <i val="1"/>
      <color rgb="00535B6B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E1423"/>
      <sz val="10"/>
    </font>
    <font>
      <name val="Calibri"/>
      <color rgb="00535B6B"/>
      <sz val="10"/>
    </font>
    <font>
      <name val="Calibr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1A1F2E"/>
        <bgColor rgb="001A1F2E"/>
      </patternFill>
    </fill>
    <fill>
      <patternFill patternType="solid">
        <fgColor rgb="0086BC25"/>
        <bgColor rgb="0086BC25"/>
      </patternFill>
    </fill>
    <fill>
      <patternFill patternType="solid">
        <fgColor rgb="00FFFF00"/>
        <bgColor rgb="00FFFF0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0" pivotButton="0" quotePrefix="0" xfId="0"/>
    <xf numFmtId="0" fontId="7" fillId="0" borderId="0" applyAlignment="1" pivotButton="0" quotePrefix="0" xfId="0">
      <alignment horizontal="left" vertical="center" wrapText="1"/>
    </xf>
    <xf numFmtId="164" fontId="7" fillId="5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5" fontId="10" fillId="0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center" vertical="center"/>
    </xf>
    <xf numFmtId="0" fontId="8" fillId="6" borderId="0" pivotButton="0" quotePrefix="0" xfId="0"/>
    <xf numFmtId="166" fontId="7" fillId="6" borderId="0" applyAlignment="1" pivotButton="0" quotePrefix="0" xfId="0">
      <alignment horizontal="right" vertical="center"/>
    </xf>
    <xf numFmtId="0" fontId="9" fillId="6" borderId="0" pivotButton="0" quotePrefix="0" xfId="0"/>
    <xf numFmtId="165" fontId="10" fillId="6" borderId="0" applyAlignment="1" pivotButton="0" quotePrefix="0" xfId="0">
      <alignment horizontal="right" vertical="center"/>
    </xf>
    <xf numFmtId="0" fontId="4" fillId="0" borderId="0" pivotButton="0" quotePrefix="0" xfId="0"/>
    <xf numFmtId="165" fontId="4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5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67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168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APEX BVA Workshop — ROI Calculator</t>
        </is>
      </c>
    </row>
    <row r="2">
      <c r="A2" s="2" t="inlineStr">
        <is>
          <t>Companion to: APEX-CFMP-CHC-Sellers-Guide §8 + CFMP v0.2 §9 Pack-level KPIs</t>
        </is>
      </c>
    </row>
    <row r="4">
      <c r="A4" s="3" t="inlineStr"/>
    </row>
    <row r="5">
      <c r="A5" s="4" t="inlineStr">
        <is>
          <t>HOW TO USE</t>
        </is>
      </c>
    </row>
    <row r="6">
      <c r="A6" s="3" t="inlineStr">
        <is>
          <t>1. Fill in the BLUE cells on the 'Inputs' sheet with the client's baseline numbers.</t>
        </is>
      </c>
    </row>
    <row r="7">
      <c r="A7" s="3" t="inlineStr">
        <is>
          <t>2. Review and adjust scenario lift %s on the 'Scenarios' sheet (defaults from CFMP §9 + CHC scenario shortlist).</t>
        </is>
      </c>
    </row>
    <row r="8">
      <c r="A8" s="3" t="inlineStr">
        <is>
          <t>3. The 'Outputs' sheet computes Wave-1, Wave-2, and 3-year TCV plus ROI multiple — formulas only, no editing.</t>
        </is>
      </c>
    </row>
    <row r="9">
      <c r="A9" s="3" t="inlineStr">
        <is>
          <t>4. The 'Sensitivity' sheet runs high/mid/low cases on the three biggest swing inputs.</t>
        </is>
      </c>
    </row>
    <row r="10">
      <c r="A10" s="3" t="inlineStr">
        <is>
          <t>5. Yellow-highlighted cells are the inputs that move the outcome the most — bring the CFO into those.</t>
        </is>
      </c>
    </row>
    <row r="11">
      <c r="A11" s="3" t="inlineStr"/>
    </row>
    <row r="12">
      <c r="A12" s="4" t="inlineStr">
        <is>
          <t>COLOR CONVENTIONS (industry-standard financial modeling)</t>
        </is>
      </c>
    </row>
    <row r="13">
      <c r="A13" s="3" t="inlineStr">
        <is>
          <t>• Blue  text = hardcoded inputs you change</t>
        </is>
      </c>
    </row>
    <row r="14">
      <c r="A14" s="3" t="inlineStr">
        <is>
          <t>• Black text = formulas (do not edit)</t>
        </is>
      </c>
    </row>
    <row r="15">
      <c r="A15" s="3" t="inlineStr">
        <is>
          <t>• Green text = cross-sheet links</t>
        </is>
      </c>
    </row>
    <row r="16">
      <c r="A16" s="3" t="inlineStr">
        <is>
          <t>• Yellow highlight = key assumption requiring CFO attention</t>
        </is>
      </c>
    </row>
    <row r="17">
      <c r="A17" s="3" t="inlineStr"/>
    </row>
    <row r="18">
      <c r="A18" s="4" t="inlineStr">
        <is>
          <t>SOURCES</t>
        </is>
      </c>
    </row>
    <row r="19">
      <c r="A19" s="3" t="inlineStr">
        <is>
          <t>• Pack-level KPIs: CFMP v0.2 §9 'Roll-up KPIs for the BVA worksheet'</t>
        </is>
      </c>
    </row>
    <row r="20">
      <c r="A20" s="3" t="inlineStr">
        <is>
          <t>• CHC scenario lifts: Connected-Home-Commerce v0.2 §6 + §14.3</t>
        </is>
      </c>
    </row>
    <row r="21">
      <c r="A21" s="3" t="inlineStr">
        <is>
          <t>• Pricing: APEX-CFMP-CHC-Sellers-Guide §8.1 'The price ladder'</t>
        </is>
      </c>
    </row>
    <row r="22">
      <c r="A22" s="3" t="inlineStr">
        <is>
          <t>• Demo proof: https://ca-visionkit-portal.gentlestone-9b49b099.eastus2.azurecontainerapps.io</t>
        </is>
      </c>
    </row>
    <row r="23">
      <c r="A23" s="3" t="inlineStr"/>
    </row>
    <row r="24">
      <c r="A24" s="4" t="inlineStr">
        <is>
          <t>INDEPENDENCE NOTE</t>
        </is>
      </c>
    </row>
    <row r="25">
      <c r="A25" s="3" t="inlineStr">
        <is>
          <t>Microsoft money flows via ISV Marketplace burndown + SI Teaming, never direct ECIF to Deloitte.</t>
        </is>
      </c>
    </row>
    <row r="26">
      <c r="A26" s="3" t="inlineStr">
        <is>
          <t>All funding-vehicle references use APEX-Design-v3 §S21 'Funding &amp; Independence' nomenclature.</t>
        </is>
      </c>
    </row>
    <row r="27">
      <c r="A27" s="3" t="inlineStr"/>
    </row>
    <row r="28">
      <c r="A28" s="5" t="inlineStr">
        <is>
          <t>Internal · Deloitte's Microsoft Technology &amp; Services Practice</t>
        </is>
      </c>
    </row>
    <row r="29">
      <c r="A29" s="3" t="inlineStr">
        <is>
          <t>Prepared by Keven Markham, VP · 2026-05-23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55" customWidth="1" min="3" max="3"/>
  </cols>
  <sheetData>
    <row r="1">
      <c r="A1" s="1" t="inlineStr">
        <is>
          <t>Client Baseline Inputs</t>
        </is>
      </c>
    </row>
    <row r="2">
      <c r="A2" s="6" t="inlineStr">
        <is>
          <t>Edit BLUE cells. Yellow = key swing assumptions.</t>
        </is>
      </c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Notes</t>
        </is>
      </c>
    </row>
    <row r="5">
      <c r="A5" s="8" t="inlineStr">
        <is>
          <t>CLIENT IDENTITY</t>
        </is>
      </c>
    </row>
    <row r="6">
      <c r="A6" s="3" t="inlineStr">
        <is>
          <t>Client name</t>
        </is>
      </c>
      <c r="B6" s="9" t="inlineStr">
        <is>
          <t>[Client]</t>
        </is>
      </c>
      <c r="C6" s="5" t="inlineStr">
        <is>
          <t>e.g., Kroger, AT&amp;T</t>
        </is>
      </c>
    </row>
    <row r="7">
      <c r="A7" s="3" t="inlineStr">
        <is>
          <t>Banner / business unit</t>
        </is>
      </c>
      <c r="B7" s="9" t="inlineStr">
        <is>
          <t>[Banner]</t>
        </is>
      </c>
      <c r="C7" s="5" t="inlineStr">
        <is>
          <t>e.g., Smith's, Mariano's</t>
        </is>
      </c>
    </row>
    <row r="8">
      <c r="A8" s="3" t="inlineStr">
        <is>
          <t>Engagement variant</t>
        </is>
      </c>
      <c r="B8" s="9" t="inlineStr">
        <is>
          <t>Variant B — B2C</t>
        </is>
      </c>
      <c r="C8" s="5" t="inlineStr">
        <is>
          <t>Variant A (B2B2C Telco × Merch) or Variant B (Merch direct)</t>
        </is>
      </c>
    </row>
    <row r="9">
      <c r="A9" s="8" t="inlineStr">
        <is>
          <t>STORE / HOUSEHOLD FOOTPRINT</t>
        </is>
      </c>
    </row>
    <row r="10">
      <c r="A10" s="3" t="inlineStr">
        <is>
          <t># stores in pilot scope</t>
        </is>
      </c>
      <c r="B10" s="10" t="n">
        <v>50</v>
      </c>
      <c r="C10" s="5" t="inlineStr">
        <is>
          <t>Wave-1 footprint (Pack Lite typically 1-5 stores)</t>
        </is>
      </c>
    </row>
    <row r="11">
      <c r="A11" s="3" t="inlineStr">
        <is>
          <t># stores in full rollout</t>
        </is>
      </c>
      <c r="B11" s="11" t="n">
        <v>2500</v>
      </c>
      <c r="C11" s="5" t="inlineStr">
        <is>
          <t>Wave-3 / Enterprise target footprint</t>
        </is>
      </c>
    </row>
    <row r="12">
      <c r="A12" s="3" t="inlineStr">
        <is>
          <t># households in scope (Variant B/CHC)</t>
        </is>
      </c>
      <c r="B12" s="10" t="n">
        <v>5000</v>
      </c>
      <c r="C12" s="5" t="inlineStr">
        <is>
          <t>Pilot household count for in-home pack</t>
        </is>
      </c>
    </row>
    <row r="13">
      <c r="A13" s="3" t="inlineStr">
        <is>
          <t># households at full rollout</t>
        </is>
      </c>
      <c r="B13" s="11" t="n">
        <v>500000</v>
      </c>
      <c r="C13" s="5" t="inlineStr">
        <is>
          <t>Enterprise household target</t>
        </is>
      </c>
    </row>
    <row r="14">
      <c r="A14" s="8" t="inlineStr">
        <is>
          <t>BASELINE STORE ECONOMICS</t>
        </is>
      </c>
    </row>
    <row r="15">
      <c r="A15" s="3" t="inlineStr">
        <is>
          <t>Avg annual revenue per store ($)</t>
        </is>
      </c>
      <c r="B15" s="12" t="n">
        <v>25000000</v>
      </c>
      <c r="C15" s="5" t="inlineStr">
        <is>
          <t>Per store, annual</t>
        </is>
      </c>
    </row>
    <row r="16">
      <c r="A16" s="3" t="inlineStr">
        <is>
          <t>Avg basket size ($)</t>
        </is>
      </c>
      <c r="B16" s="12" t="n">
        <v>65</v>
      </c>
      <c r="C16" s="5" t="inlineStr">
        <is>
          <t>Per transaction</t>
        </is>
      </c>
    </row>
    <row r="17">
      <c r="A17" s="3" t="inlineStr">
        <is>
          <t>Trips per household per year</t>
        </is>
      </c>
      <c r="B17" s="11" t="n">
        <v>52</v>
      </c>
      <c r="C17" s="5" t="inlineStr">
        <is>
          <t>Annual trip frequency</t>
        </is>
      </c>
    </row>
    <row r="18">
      <c r="A18" s="3" t="inlineStr">
        <is>
          <t>Gross margin %</t>
        </is>
      </c>
      <c r="B18" s="13" t="n">
        <v>0.28</v>
      </c>
      <c r="C18" s="5" t="inlineStr">
        <is>
          <t>Blended gross margin</t>
        </is>
      </c>
    </row>
    <row r="19">
      <c r="A19" s="3" t="inlineStr">
        <is>
          <t>Current cart-abandon rate (in-store)</t>
        </is>
      </c>
      <c r="B19" s="14" t="n">
        <v>0.045</v>
      </c>
      <c r="C19" s="5" t="inlineStr">
        <is>
          <t>Physical cart abandon fraction</t>
        </is>
      </c>
    </row>
    <row r="20">
      <c r="A20" s="3" t="inlineStr">
        <is>
          <t>Current OOS rate</t>
        </is>
      </c>
      <c r="B20" s="14" t="n">
        <v>0.062</v>
      </c>
      <c r="C20" s="5" t="inlineStr">
        <is>
          <t>Out-of-stock at shelf, fraction</t>
        </is>
      </c>
    </row>
    <row r="21">
      <c r="A21" s="3" t="inlineStr">
        <is>
          <t>Current substitution acceptance rate</t>
        </is>
      </c>
      <c r="B21" s="14" t="n">
        <v>0.35</v>
      </c>
      <c r="C21" s="5" t="inlineStr">
        <is>
          <t>BOPIS substitution accept fraction</t>
        </is>
      </c>
    </row>
    <row r="22">
      <c r="A22" s="8" t="inlineStr">
        <is>
          <t>BASELINE HOUSEHOLD ECONOMICS (CHC)</t>
        </is>
      </c>
    </row>
    <row r="23">
      <c r="A23" s="3" t="inlineStr">
        <is>
          <t>Avg annual spend per household ($)</t>
        </is>
      </c>
      <c r="B23" s="12" t="n">
        <v>6500</v>
      </c>
      <c r="C23" s="5" t="inlineStr">
        <is>
          <t>Loyalty-member annual spend</t>
        </is>
      </c>
    </row>
    <row r="24">
      <c r="A24" s="3" t="inlineStr">
        <is>
          <t>Loyalty churn rate (annual)</t>
        </is>
      </c>
      <c r="B24" s="13" t="n">
        <v>0.18</v>
      </c>
      <c r="C24" s="5" t="inlineStr">
        <is>
          <t>Annual loyalty churn fraction</t>
        </is>
      </c>
    </row>
    <row r="25">
      <c r="A25" s="3" t="inlineStr">
        <is>
          <t>In-home replenishment cycle (days)</t>
        </is>
      </c>
      <c r="B25" s="11" t="n">
        <v>9</v>
      </c>
      <c r="C25" s="5" t="inlineStr">
        <is>
          <t>Average staple replen interval</t>
        </is>
      </c>
    </row>
    <row r="26">
      <c r="A26" s="3" t="inlineStr">
        <is>
          <t>% of basket Amazon currently takes</t>
        </is>
      </c>
      <c r="B26" s="13" t="n">
        <v>0.12</v>
      </c>
      <c r="C26" s="5" t="inlineStr">
        <is>
          <t>Estimated share Alexa routes to AMZN</t>
        </is>
      </c>
    </row>
    <row r="27">
      <c r="A27" s="8" t="inlineStr">
        <is>
          <t>ENGAGEMENT PRICING (per Sellers-Guide §8.1)</t>
        </is>
      </c>
    </row>
    <row r="28">
      <c r="A28" s="3" t="inlineStr">
        <is>
          <t>BVA workshop fee ($)</t>
        </is>
      </c>
      <c r="B28" s="12" t="n">
        <v>35000</v>
      </c>
      <c r="C28" s="5" t="inlineStr">
        <is>
          <t>Often Deloitte-absorbed</t>
        </is>
      </c>
    </row>
    <row r="29">
      <c r="A29" s="3" t="inlineStr">
        <is>
          <t>CFMP Pack Lite ($)</t>
        </is>
      </c>
      <c r="B29" s="12" t="n">
        <v>200000</v>
      </c>
      <c r="C29" s="5" t="inlineStr">
        <is>
          <t>Range $150-250K</t>
        </is>
      </c>
    </row>
    <row r="30">
      <c r="A30" s="3" t="inlineStr">
        <is>
          <t>CHC Pack Lite (B2C) ($)</t>
        </is>
      </c>
      <c r="B30" s="12" t="n">
        <v>325000</v>
      </c>
      <c r="C30" s="5" t="inlineStr">
        <is>
          <t>Range $250-400K</t>
        </is>
      </c>
    </row>
    <row r="31">
      <c r="A31" s="3" t="inlineStr">
        <is>
          <t>CFMP Pack Standard ($)</t>
        </is>
      </c>
      <c r="B31" s="12" t="n">
        <v>1000000</v>
      </c>
      <c r="C31" s="5" t="inlineStr">
        <is>
          <t>Range $500K-$1.5M</t>
        </is>
      </c>
    </row>
    <row r="32">
      <c r="A32" s="3" t="inlineStr">
        <is>
          <t>CFMP Pack Enterprise ($)</t>
        </is>
      </c>
      <c r="B32" s="12" t="n">
        <v>2500000</v>
      </c>
      <c r="C32" s="5" t="inlineStr">
        <is>
          <t>Range $1.5-3.5M</t>
        </is>
      </c>
    </row>
    <row r="33">
      <c r="A33" s="3" t="inlineStr">
        <is>
          <t>T5 Operate ($/month)</t>
        </is>
      </c>
      <c r="B33" s="12" t="n">
        <v>65000</v>
      </c>
      <c r="C33" s="5" t="inlineStr">
        <is>
          <t>Range $25-110K/mo</t>
        </is>
      </c>
    </row>
    <row r="34">
      <c r="A34" s="3" t="inlineStr">
        <is>
          <t>Cross-pack scenario bundle ($, Variant A)</t>
        </is>
      </c>
      <c r="B34" s="12" t="n">
        <v>325000</v>
      </c>
      <c r="C34" s="5" t="inlineStr">
        <is>
          <t>Range $250-400K</t>
        </is>
      </c>
    </row>
  </sheetData>
  <mergeCells count="7">
    <mergeCell ref="A1:C1"/>
    <mergeCell ref="A5:C5"/>
    <mergeCell ref="A14:C14"/>
    <mergeCell ref="A22:C22"/>
    <mergeCell ref="A9:C9"/>
    <mergeCell ref="A27:C2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Scenario Catalog — Lift % and Annual Dollar Impact</t>
        </is>
      </c>
    </row>
    <row r="2">
      <c r="A2" s="6" t="inlineStr">
        <is>
          <t>Sources: CFMP v0.2 §3 + §9, CHC v0.2 §6 + §14.3. Edit lift % values (blue) per client conversation.</t>
        </is>
      </c>
    </row>
    <row r="4" ht="28" customHeight="1">
      <c r="A4" s="7" t="inlineStr">
        <is>
          <t>#</t>
        </is>
      </c>
      <c r="B4" s="7" t="inlineStr">
        <is>
          <t>Scenario</t>
        </is>
      </c>
      <c r="C4" s="7" t="inlineStr">
        <is>
          <t>Pack</t>
        </is>
      </c>
      <c r="D4" s="7" t="inlineStr">
        <is>
          <t>Phase</t>
        </is>
      </c>
      <c r="E4" s="7" t="inlineStr">
        <is>
          <t>Lift %</t>
        </is>
      </c>
      <c r="F4" s="7" t="inlineStr">
        <is>
          <t>KPI driver</t>
        </is>
      </c>
      <c r="G4" s="7" t="inlineStr">
        <is>
          <t>Annual $ impact / store or HH</t>
        </is>
      </c>
      <c r="H4" s="7" t="inlineStr">
        <is>
          <t>Engagement tier</t>
        </is>
      </c>
    </row>
    <row r="5">
      <c r="A5" s="15" t="n">
        <v>1</v>
      </c>
      <c r="B5" s="16" t="inlineStr">
        <is>
          <t>rc-sampling-table-engagement</t>
        </is>
      </c>
      <c r="C5" s="15" t="inlineStr">
        <is>
          <t>CFMP</t>
        </is>
      </c>
      <c r="D5" s="15" t="inlineStr">
        <is>
          <t>CHOOSE</t>
        </is>
      </c>
      <c r="E5" s="14" t="n">
        <v>0.03</v>
      </c>
      <c r="F5" s="17" t="inlineStr">
        <is>
          <t>TRIP_CONV</t>
        </is>
      </c>
      <c r="G5" s="18">
        <f>rev_per_store*E5*gm_pct</f>
        <v/>
      </c>
      <c r="H5" s="15" t="inlineStr">
        <is>
          <t>Lite</t>
        </is>
      </c>
    </row>
    <row r="6">
      <c r="A6" s="19" t="n">
        <v>2</v>
      </c>
      <c r="B6" s="20" t="inlineStr">
        <is>
          <t>rc-cart-dwell-abandonment-rescue</t>
        </is>
      </c>
      <c r="C6" s="19" t="inlineStr">
        <is>
          <t>CFMP</t>
        </is>
      </c>
      <c r="D6" s="19" t="inlineStr">
        <is>
          <t>BUY</t>
        </is>
      </c>
      <c r="E6" s="21" t="n">
        <v>0.12</v>
      </c>
      <c r="F6" s="22" t="inlineStr">
        <is>
          <t>ABANDON</t>
        </is>
      </c>
      <c r="G6" s="23">
        <f>rev_per_store*abandon_rate*E6*gm_pct</f>
        <v/>
      </c>
      <c r="H6" s="19" t="inlineStr">
        <is>
          <t>Lite</t>
        </is>
      </c>
    </row>
    <row r="7">
      <c r="A7" s="15" t="n">
        <v>3</v>
      </c>
      <c r="B7" s="16" t="inlineStr">
        <is>
          <t>cfmp-wayfinding-walk-to-product</t>
        </is>
      </c>
      <c r="C7" s="15" t="inlineStr">
        <is>
          <t>CFMP</t>
        </is>
      </c>
      <c r="D7" s="15" t="inlineStr">
        <is>
          <t>SELECT</t>
        </is>
      </c>
      <c r="E7" s="14" t="n">
        <v>0.08</v>
      </c>
      <c r="F7" s="17" t="inlineStr">
        <is>
          <t>BASKET</t>
        </is>
      </c>
      <c r="G7" s="18">
        <f>rev_per_store*E7*gm_pct</f>
        <v/>
      </c>
      <c r="H7" s="15" t="inlineStr">
        <is>
          <t>Lite</t>
        </is>
      </c>
    </row>
    <row r="8">
      <c r="A8" s="19" t="n">
        <v>4</v>
      </c>
      <c r="B8" s="20" t="inlineStr">
        <is>
          <t>rc-on-shelf-availability-oos-reduction</t>
        </is>
      </c>
      <c r="C8" s="19" t="inlineStr">
        <is>
          <t>CFMP</t>
        </is>
      </c>
      <c r="D8" s="19" t="inlineStr">
        <is>
          <t>SELECT</t>
        </is>
      </c>
      <c r="E8" s="21" t="n">
        <v>0.34</v>
      </c>
      <c r="F8" s="22" t="inlineStr">
        <is>
          <t>OOS</t>
        </is>
      </c>
      <c r="G8" s="23">
        <f>rev_per_store*oos_rate*E8*gm_pct</f>
        <v/>
      </c>
      <c r="H8" s="19" t="inlineStr">
        <is>
          <t>Standard</t>
        </is>
      </c>
    </row>
    <row r="9">
      <c r="A9" s="15" t="n">
        <v>5</v>
      </c>
      <c r="B9" s="16" t="inlineStr">
        <is>
          <t>rc-shelf-gap-realtime-restock-dispatch</t>
        </is>
      </c>
      <c r="C9" s="15" t="inlineStr">
        <is>
          <t>CFMP</t>
        </is>
      </c>
      <c r="D9" s="15" t="inlineStr">
        <is>
          <t>SELECT</t>
        </is>
      </c>
      <c r="E9" s="14" t="n">
        <v>0.02</v>
      </c>
      <c r="F9" s="17" t="inlineStr">
        <is>
          <t>BASKET</t>
        </is>
      </c>
      <c r="G9" s="18">
        <f>rev_per_store*E9*gm_pct</f>
        <v/>
      </c>
      <c r="H9" s="15" t="inlineStr">
        <is>
          <t>Standard</t>
        </is>
      </c>
    </row>
    <row r="10">
      <c r="A10" s="19" t="n">
        <v>6</v>
      </c>
      <c r="B10" s="20" t="inlineStr">
        <is>
          <t>rc-aisle-engagement-attribution</t>
        </is>
      </c>
      <c r="C10" s="19" t="inlineStr">
        <is>
          <t>CFMP</t>
        </is>
      </c>
      <c r="D10" s="19" t="inlineStr">
        <is>
          <t>SELECT</t>
        </is>
      </c>
      <c r="E10" s="21" t="n">
        <v>0.015</v>
      </c>
      <c r="F10" s="22" t="inlineStr">
        <is>
          <t>TRIP_CONV</t>
        </is>
      </c>
      <c r="G10" s="23">
        <f>rev_per_store*E10*gm_pct</f>
        <v/>
      </c>
      <c r="H10" s="19" t="inlineStr">
        <is>
          <t>Standard</t>
        </is>
      </c>
    </row>
    <row r="11">
      <c r="A11" s="15" t="n">
        <v>7</v>
      </c>
      <c r="B11" s="16" t="inlineStr">
        <is>
          <t>rc-customer-wait-time-prediction-checkout</t>
        </is>
      </c>
      <c r="C11" s="15" t="inlineStr">
        <is>
          <t>CFMP</t>
        </is>
      </c>
      <c r="D11" s="15" t="inlineStr">
        <is>
          <t>BUY</t>
        </is>
      </c>
      <c r="E11" s="14" t="n">
        <v>0.09</v>
      </c>
      <c r="F11" s="17" t="inlineStr">
        <is>
          <t>TRIP_CONV</t>
        </is>
      </c>
      <c r="G11" s="18">
        <f>rev_per_store*E11*gm_pct</f>
        <v/>
      </c>
      <c r="H11" s="15" t="inlineStr">
        <is>
          <t>Standard</t>
        </is>
      </c>
    </row>
    <row r="12">
      <c r="A12" s="19" t="n">
        <v>8</v>
      </c>
      <c r="B12" s="20" t="inlineStr">
        <is>
          <t>rc-self-checkout-shrink-detection</t>
        </is>
      </c>
      <c r="C12" s="19" t="inlineStr">
        <is>
          <t>CFMP</t>
        </is>
      </c>
      <c r="D12" s="19" t="inlineStr">
        <is>
          <t>BUY</t>
        </is>
      </c>
      <c r="E12" s="21" t="n">
        <v>0.06</v>
      </c>
      <c r="F12" s="22" t="inlineStr">
        <is>
          <t>BASKET</t>
        </is>
      </c>
      <c r="G12" s="23">
        <f>rev_per_store*E12*gm_pct</f>
        <v/>
      </c>
      <c r="H12" s="19" t="inlineStr">
        <is>
          <t>Standard</t>
        </is>
      </c>
    </row>
    <row r="13">
      <c r="A13" s="15" t="n">
        <v>9</v>
      </c>
      <c r="B13" s="16" t="inlineStr">
        <is>
          <t>rc-bopis-pickup-counter-load</t>
        </is>
      </c>
      <c r="C13" s="15" t="inlineStr">
        <is>
          <t>CFMP</t>
        </is>
      </c>
      <c r="D13" s="15" t="inlineStr">
        <is>
          <t>BUY</t>
        </is>
      </c>
      <c r="E13" s="14" t="n">
        <v>0.08</v>
      </c>
      <c r="F13" s="17" t="inlineStr">
        <is>
          <t>TRIP_CONV</t>
        </is>
      </c>
      <c r="G13" s="18">
        <f>rev_per_store*E13*gm_pct</f>
        <v/>
      </c>
      <c r="H13" s="15" t="inlineStr">
        <is>
          <t>Standard</t>
        </is>
      </c>
    </row>
    <row r="14">
      <c r="A14" s="19" t="n">
        <v>10</v>
      </c>
      <c r="B14" s="20" t="inlineStr">
        <is>
          <t>rc-loyalty-churn-prediction-winback</t>
        </is>
      </c>
      <c r="C14" s="19" t="inlineStr">
        <is>
          <t>CFMP</t>
        </is>
      </c>
      <c r="D14" s="19" t="inlineStr">
        <is>
          <t>SERVICES</t>
        </is>
      </c>
      <c r="E14" s="21" t="n">
        <v>0.22</v>
      </c>
      <c r="F14" s="22" t="inlineStr">
        <is>
          <t>CHURN</t>
        </is>
      </c>
      <c r="G14" s="23">
        <f>rev_per_store*churn_rate*E14</f>
        <v/>
      </c>
      <c r="H14" s="19" t="inlineStr">
        <is>
          <t>Standard</t>
        </is>
      </c>
    </row>
    <row r="15">
      <c r="A15" s="15" t="n">
        <v>11</v>
      </c>
      <c r="B15" s="16" t="inlineStr">
        <is>
          <t>rc-product-complaint-triage</t>
        </is>
      </c>
      <c r="C15" s="15" t="inlineStr">
        <is>
          <t>CFMP</t>
        </is>
      </c>
      <c r="D15" s="15" t="inlineStr">
        <is>
          <t>SERVICES</t>
        </is>
      </c>
      <c r="E15" s="14" t="n">
        <v>0.05</v>
      </c>
      <c r="F15" s="17" t="inlineStr">
        <is>
          <t>CHURN</t>
        </is>
      </c>
      <c r="G15" s="18">
        <f>rev_per_store*churn_rate*E15</f>
        <v/>
      </c>
      <c r="H15" s="15" t="inlineStr">
        <is>
          <t>Enterprise</t>
        </is>
      </c>
    </row>
    <row r="16">
      <c r="A16" s="19" t="n">
        <v>12</v>
      </c>
      <c r="B16" s="20" t="inlineStr">
        <is>
          <t>rc-in-store-advertising-impact</t>
        </is>
      </c>
      <c r="C16" s="19" t="inlineStr">
        <is>
          <t>CFMP</t>
        </is>
      </c>
      <c r="D16" s="19" t="inlineStr">
        <is>
          <t>CHOOSE</t>
        </is>
      </c>
      <c r="E16" s="21" t="n">
        <v>0.09</v>
      </c>
      <c r="F16" s="22" t="inlineStr">
        <is>
          <t>TRIP_CONV</t>
        </is>
      </c>
      <c r="G16" s="23">
        <f>rev_per_store*E16*gm_pct</f>
        <v/>
      </c>
      <c r="H16" s="19" t="inlineStr">
        <is>
          <t>Enterprise</t>
        </is>
      </c>
    </row>
    <row r="17">
      <c r="A17" s="15" t="n">
        <v>13</v>
      </c>
      <c r="B17" s="16" t="inlineStr">
        <is>
          <t>rc-personalized-offer-targeting</t>
        </is>
      </c>
      <c r="C17" s="15" t="inlineStr">
        <is>
          <t>CFMP</t>
        </is>
      </c>
      <c r="D17" s="15" t="inlineStr">
        <is>
          <t>CHOOSE</t>
        </is>
      </c>
      <c r="E17" s="14" t="n">
        <v>0.24</v>
      </c>
      <c r="F17" s="17" t="inlineStr">
        <is>
          <t>BASKET</t>
        </is>
      </c>
      <c r="G17" s="18">
        <f>rev_per_store*E17*gm_pct</f>
        <v/>
      </c>
      <c r="H17" s="15" t="inlineStr">
        <is>
          <t>Enterprise</t>
        </is>
      </c>
    </row>
    <row r="18">
      <c r="A18" s="19" t="n">
        <v>14</v>
      </c>
      <c r="B18" s="20" t="inlineStr">
        <is>
          <t>rc-end-cap-display-roi-tracking</t>
        </is>
      </c>
      <c r="C18" s="19" t="inlineStr">
        <is>
          <t>CFMP</t>
        </is>
      </c>
      <c r="D18" s="19" t="inlineStr">
        <is>
          <t>SELECT</t>
        </is>
      </c>
      <c r="E18" s="21" t="n">
        <v>0.22</v>
      </c>
      <c r="F18" s="22" t="inlineStr">
        <is>
          <t>BASKET</t>
        </is>
      </c>
      <c r="G18" s="23">
        <f>rev_per_store*E18*gm_pct</f>
        <v/>
      </c>
      <c r="H18" s="19" t="inlineStr">
        <is>
          <t>Enterprise</t>
        </is>
      </c>
    </row>
    <row r="19">
      <c r="A19" s="15" t="n">
        <v>15</v>
      </c>
      <c r="B19" s="16" t="inlineStr">
        <is>
          <t>rc-shelf-price-label-compliance-audit</t>
        </is>
      </c>
      <c r="C19" s="15" t="inlineStr">
        <is>
          <t>CFMP</t>
        </is>
      </c>
      <c r="D19" s="15" t="inlineStr">
        <is>
          <t>SELECT</t>
        </is>
      </c>
      <c r="E19" s="14" t="n">
        <v>0.02</v>
      </c>
      <c r="F19" s="17" t="inlineStr">
        <is>
          <t>OOS</t>
        </is>
      </c>
      <c r="G19" s="18">
        <f>rev_per_store*oos_rate*E19*gm_pct</f>
        <v/>
      </c>
      <c r="H19" s="15" t="inlineStr">
        <is>
          <t>Enterprise</t>
        </is>
      </c>
    </row>
    <row r="20">
      <c r="A20" s="19" t="n">
        <v>16</v>
      </c>
      <c r="B20" s="20" t="inlineStr">
        <is>
          <t>chc-pantry-inventory-inference</t>
        </is>
      </c>
      <c r="C20" s="19" t="inlineStr">
        <is>
          <t>CHC</t>
        </is>
      </c>
      <c r="D20" s="19" t="inlineStr">
        <is>
          <t>NEED</t>
        </is>
      </c>
      <c r="E20" s="21" t="n">
        <v>0.08</v>
      </c>
      <c r="F20" s="22" t="inlineStr">
        <is>
          <t>AMZ_RECAPTURE</t>
        </is>
      </c>
      <c r="G20" s="23">
        <f>hh_spend*amz_share*E20*gm_pct</f>
        <v/>
      </c>
      <c r="H20" s="19" t="inlineStr">
        <is>
          <t>Lite</t>
        </is>
      </c>
    </row>
    <row r="21">
      <c r="A21" s="15" t="n">
        <v>17</v>
      </c>
      <c r="B21" s="16" t="inlineStr">
        <is>
          <t>chc-low-stock-voice-prompt</t>
        </is>
      </c>
      <c r="C21" s="15" t="inlineStr">
        <is>
          <t>CHC</t>
        </is>
      </c>
      <c r="D21" s="15" t="inlineStr">
        <is>
          <t>NEED</t>
        </is>
      </c>
      <c r="E21" s="14" t="n">
        <v>0.07000000000000001</v>
      </c>
      <c r="F21" s="17" t="inlineStr">
        <is>
          <t>AMZ_RECAPTURE</t>
        </is>
      </c>
      <c r="G21" s="18">
        <f>hh_spend*amz_share*E21*gm_pct</f>
        <v/>
      </c>
      <c r="H21" s="15" t="inlineStr">
        <is>
          <t>Lite</t>
        </is>
      </c>
    </row>
    <row r="22">
      <c r="A22" s="19" t="n">
        <v>18</v>
      </c>
      <c r="B22" s="20" t="inlineStr">
        <is>
          <t>chc-replenishment-cart-build</t>
        </is>
      </c>
      <c r="C22" s="19" t="inlineStr">
        <is>
          <t>CHC</t>
        </is>
      </c>
      <c r="D22" s="19" t="inlineStr">
        <is>
          <t>CHOOSE</t>
        </is>
      </c>
      <c r="E22" s="21" t="n">
        <v>0.06</v>
      </c>
      <c r="F22" s="22" t="inlineStr">
        <is>
          <t>AMZ_RECAPTURE</t>
        </is>
      </c>
      <c r="G22" s="23">
        <f>hh_spend*amz_share*E22*gm_pct</f>
        <v/>
      </c>
      <c r="H22" s="19" t="inlineStr">
        <is>
          <t>Lite</t>
        </is>
      </c>
    </row>
    <row r="23">
      <c r="A23" s="15" t="n">
        <v>19</v>
      </c>
      <c r="B23" s="16" t="inlineStr">
        <is>
          <t>chc-substitution-acceptance</t>
        </is>
      </c>
      <c r="C23" s="15" t="inlineStr">
        <is>
          <t>CHC</t>
        </is>
      </c>
      <c r="D23" s="15" t="inlineStr">
        <is>
          <t>SELECT</t>
        </is>
      </c>
      <c r="E23" s="14" t="n">
        <v>0.2</v>
      </c>
      <c r="F23" s="17" t="inlineStr">
        <is>
          <t>SUBSTIT</t>
        </is>
      </c>
      <c r="G23" s="18">
        <f>hh_spend*0.18*E23*gm_pct</f>
        <v/>
      </c>
      <c r="H23" s="15" t="inlineStr">
        <is>
          <t>Standard</t>
        </is>
      </c>
    </row>
    <row r="24">
      <c r="A24" s="19" t="n">
        <v>20</v>
      </c>
      <c r="B24" s="20" t="inlineStr">
        <is>
          <t>chc-delivery-arrival-handoff</t>
        </is>
      </c>
      <c r="C24" s="19" t="inlineStr">
        <is>
          <t>CHC</t>
        </is>
      </c>
      <c r="D24" s="19" t="inlineStr">
        <is>
          <t>SERVICES</t>
        </is>
      </c>
      <c r="E24" s="21" t="n">
        <v>0.04</v>
      </c>
      <c r="F24" s="22" t="inlineStr">
        <is>
          <t>CHURN</t>
        </is>
      </c>
      <c r="G24" s="23">
        <f>hh_spend*churn_rate*E24</f>
        <v/>
      </c>
      <c r="H24" s="19" t="inlineStr">
        <is>
          <t>Standard</t>
        </is>
      </c>
    </row>
    <row r="25">
      <c r="A25" s="15" t="n">
        <v>21</v>
      </c>
      <c r="B25" s="16" t="inlineStr">
        <is>
          <t>chc-loyalty-fusion-attribution</t>
        </is>
      </c>
      <c r="C25" s="15" t="inlineStr">
        <is>
          <t>CHC</t>
        </is>
      </c>
      <c r="D25" s="15" t="inlineStr">
        <is>
          <t>SERVICES</t>
        </is>
      </c>
      <c r="E25" s="14" t="n">
        <v>0.06</v>
      </c>
      <c r="F25" s="17" t="inlineStr">
        <is>
          <t>CHURN</t>
        </is>
      </c>
      <c r="G25" s="18">
        <f>hh_spend*churn_rate*E25</f>
        <v/>
      </c>
      <c r="H25" s="15" t="inlineStr">
        <is>
          <t>Enterprise</t>
        </is>
      </c>
    </row>
    <row r="28">
      <c r="B28" s="24" t="inlineStr">
        <is>
          <t>SUBTOTAL — CFMP per store / yr</t>
        </is>
      </c>
      <c r="G28" s="25">
        <f>SUMIFS(G5:G26,C5:C26,"CFMP")</f>
        <v/>
      </c>
    </row>
    <row r="29">
      <c r="B29" s="24" t="inlineStr">
        <is>
          <t>SUBTOTAL — CHC per HH / yr</t>
        </is>
      </c>
      <c r="G29" s="25">
        <f>SUMIFS(G5:G26,C5:C26,"CHC")</f>
        <v/>
      </c>
    </row>
    <row r="31">
      <c r="B31" s="24" t="inlineStr">
        <is>
          <t>By tier — Lite (blended)</t>
        </is>
      </c>
      <c r="G31" s="25">
        <f>SUMIFS(G5:G26,H5:H26,"Lite")</f>
        <v/>
      </c>
    </row>
    <row r="32">
      <c r="B32" s="24" t="inlineStr">
        <is>
          <t>By tier — Standard (blended)</t>
        </is>
      </c>
      <c r="G32" s="25">
        <f>SUMIFS(G5:G26,H5:H26,"Standard")</f>
        <v/>
      </c>
    </row>
    <row r="33">
      <c r="B33" s="24" t="inlineStr">
        <is>
          <t>By tier — Enterprise (blended)</t>
        </is>
      </c>
      <c r="G33" s="25">
        <f>SUMIFS(G5:G26,H5:H26,"Enterprise")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Engagement Economics — Wave 1, 2, 3 + TCV</t>
        </is>
      </c>
    </row>
    <row r="2">
      <c r="A2" s="6" t="inlineStr">
        <is>
          <t>All cells are FORMULAS (black). Do not edit. Edit Inputs and Scenarios sheets to change outcomes.</t>
        </is>
      </c>
    </row>
    <row r="4" ht="28" customHeight="1">
      <c r="A4" s="7" t="inlineStr"/>
      <c r="B4" s="7" t="inlineStr">
        <is>
          <t>Wave 1 (Pilot, Lite)</t>
        </is>
      </c>
      <c r="C4" s="7" t="inlineStr">
        <is>
          <t>Wave 2 (Standard)</t>
        </is>
      </c>
      <c r="D4" s="7" t="inlineStr">
        <is>
          <t>Wave 3 (Enterprise + Operate)</t>
        </is>
      </c>
      <c r="E4" s="7" t="inlineStr">
        <is>
          <t>Cumulative 3-yr</t>
        </is>
      </c>
    </row>
    <row r="5">
      <c r="A5" s="26" t="inlineStr">
        <is>
          <t>CUSTOMER-SIDE VALUE (annual)</t>
        </is>
      </c>
      <c r="B5" s="27" t="n"/>
      <c r="C5" s="27" t="n"/>
      <c r="D5" s="27" t="n"/>
      <c r="E5" s="27" t="n"/>
    </row>
    <row r="6">
      <c r="A6" s="3" t="inlineStr">
        <is>
          <t>Pilot scope — CFMP $/yr</t>
        </is>
      </c>
      <c r="B6" s="18">
        <f>n_stores_pilot*cfmp_per_store_yr</f>
        <v/>
      </c>
      <c r="C6" s="18">
        <f>ROUND(n_stores_pilot*5,0)*cfmp_per_store_yr</f>
        <v/>
      </c>
      <c r="D6" s="18">
        <f>n_stores_full*cfmp_per_store_yr</f>
        <v/>
      </c>
      <c r="E6" s="28">
        <f>B6+C6+D6</f>
        <v/>
      </c>
    </row>
    <row r="7">
      <c r="A7" s="3" t="inlineStr">
        <is>
          <t>Pilot scope — CHC $/yr</t>
        </is>
      </c>
      <c r="B7" s="18">
        <f>n_hh_pilot*chc_per_hh_yr</f>
        <v/>
      </c>
      <c r="C7" s="18">
        <f>n_hh_pilot*10*chc_per_hh_yr</f>
        <v/>
      </c>
      <c r="D7" s="18">
        <f>n_hh_full*chc_per_hh_yr</f>
        <v/>
      </c>
      <c r="E7" s="28">
        <f>B7+C7+D7</f>
        <v/>
      </c>
    </row>
    <row r="8">
      <c r="A8" s="29" t="inlineStr">
        <is>
          <t>Total value/yr at end-of-wave</t>
        </is>
      </c>
      <c r="B8" s="28">
        <f>B6+B7</f>
        <v/>
      </c>
      <c r="C8" s="28">
        <f>C6+C7</f>
        <v/>
      </c>
      <c r="D8" s="28">
        <f>D6+D7</f>
        <v/>
      </c>
      <c r="E8" s="28">
        <f>B8+C8+D8</f>
        <v/>
      </c>
    </row>
    <row r="10">
      <c r="A10" s="26" t="inlineStr">
        <is>
          <t>DELOITTE ENGAGEMENT COST</t>
        </is>
      </c>
      <c r="B10" s="27" t="n"/>
      <c r="C10" s="27" t="n"/>
      <c r="D10" s="27" t="n"/>
      <c r="E10" s="27" t="n"/>
    </row>
    <row r="11">
      <c r="A11" s="3" t="inlineStr">
        <is>
          <t>Build (Lite/Std/Ent)</t>
        </is>
      </c>
      <c r="B11" s="18">
        <f>price_lite + price_chc_lite</f>
        <v/>
      </c>
      <c r="C11" s="18">
        <f>price_std</f>
        <v/>
      </c>
      <c r="D11" s="18">
        <f>price_ent</f>
        <v/>
      </c>
      <c r="E11" s="28">
        <f>B11+C11+D11</f>
        <v/>
      </c>
    </row>
    <row r="12">
      <c r="A12" s="3" t="inlineStr">
        <is>
          <t>Cross-pack bundle (Variant A only)</t>
        </is>
      </c>
      <c r="B12" s="18">
        <f>IF(EXACT(Inputs!B7,"Variant A — B2B2C"),price_xp,0)</f>
        <v/>
      </c>
      <c r="C12" s="18" t="n">
        <v>0</v>
      </c>
      <c r="D12" s="18" t="n">
        <v>0</v>
      </c>
      <c r="E12" s="28">
        <f>B12+C12+D12</f>
        <v/>
      </c>
    </row>
    <row r="13">
      <c r="A13" s="3" t="inlineStr">
        <is>
          <t>BVA workshop</t>
        </is>
      </c>
      <c r="B13" s="18">
        <f>Inputs!B31</f>
        <v/>
      </c>
      <c r="C13" s="18" t="n">
        <v>0</v>
      </c>
      <c r="D13" s="18" t="n">
        <v>0</v>
      </c>
      <c r="E13" s="28">
        <f>B13+C13+D13</f>
        <v/>
      </c>
    </row>
    <row r="14">
      <c r="A14" s="3" t="inlineStr">
        <is>
          <t>T5 Operate (annual run-rate, Wave 3+)</t>
        </is>
      </c>
      <c r="B14" s="18" t="n">
        <v>0</v>
      </c>
      <c r="C14" s="18">
        <f>price_op_mo*6</f>
        <v/>
      </c>
      <c r="D14" s="18">
        <f>price_op_mo*12</f>
        <v/>
      </c>
      <c r="E14" s="28">
        <f>B14+C14+D14</f>
        <v/>
      </c>
    </row>
    <row r="15">
      <c r="A15" s="29" t="inlineStr">
        <is>
          <t>Total engagement cost</t>
        </is>
      </c>
      <c r="B15" s="28">
        <f>B11+B12+B13+B14</f>
        <v/>
      </c>
      <c r="C15" s="28">
        <f>C11+C12+C13+C14</f>
        <v/>
      </c>
      <c r="D15" s="28">
        <f>D11+D12+D13+D14</f>
        <v/>
      </c>
      <c r="E15" s="28">
        <f>B15+C15+D15</f>
        <v/>
      </c>
    </row>
    <row r="17">
      <c r="A17" s="26" t="inlineStr">
        <is>
          <t>ROI</t>
        </is>
      </c>
      <c r="B17" s="27" t="n"/>
      <c r="C17" s="27" t="n"/>
      <c r="D17" s="27" t="n"/>
      <c r="E17" s="27" t="n"/>
    </row>
    <row r="18">
      <c r="A18" s="29" t="inlineStr">
        <is>
          <t>Value : Cost ratio (annual)</t>
        </is>
      </c>
      <c r="B18" s="30">
        <f>IFERROR(B8/B15,0)</f>
        <v/>
      </c>
      <c r="C18" s="30">
        <f>IFERROR(C8/C15,0)</f>
        <v/>
      </c>
      <c r="D18" s="30">
        <f>IFERROR(D8/D15,0)</f>
        <v/>
      </c>
      <c r="E18" s="30">
        <f>B18+C18+D18</f>
        <v/>
      </c>
    </row>
    <row r="19">
      <c r="A19" s="29" t="inlineStr">
        <is>
          <t>Net value (Value − Cost), annual</t>
        </is>
      </c>
      <c r="B19" s="28">
        <f>B8-B15</f>
        <v/>
      </c>
      <c r="C19" s="28">
        <f>C8-C15</f>
        <v/>
      </c>
      <c r="D19" s="28">
        <f>D8-D15</f>
        <v/>
      </c>
      <c r="E19" s="28">
        <f>B19+C19+D19</f>
        <v/>
      </c>
    </row>
    <row r="21">
      <c r="A21" s="26" t="inlineStr">
        <is>
          <t>3-YEAR TOTAL CONTRACT VALUE (Deloitte)</t>
        </is>
      </c>
      <c r="B21" s="27" t="n"/>
      <c r="C21" s="27" t="n"/>
      <c r="D21" s="27" t="n"/>
      <c r="E21" s="27" t="n"/>
    </row>
    <row r="22">
      <c r="A22" s="29" t="inlineStr">
        <is>
          <t>Deloitte 3-yr TCV (build + Operate)</t>
        </is>
      </c>
      <c r="B22" s="28">
        <f>B11+B12+B13</f>
        <v/>
      </c>
      <c r="C22" s="28">
        <f>C11+C12+C13+C14</f>
        <v/>
      </c>
      <c r="D22" s="28">
        <f>D11+D12+D13+D14</f>
        <v/>
      </c>
      <c r="E22" s="28">
        <f>B22+C22+D22</f>
        <v/>
      </c>
    </row>
    <row r="24">
      <c r="A24" s="8" t="inlineStr">
        <is>
          <t>READING THIS PAGE</t>
        </is>
      </c>
    </row>
    <row r="25">
      <c r="A25" s="31" t="inlineStr">
        <is>
          <t>• Customer-side value is recurring annual; Deloitte cost is mostly one-time (build) plus Operate run-rate.</t>
        </is>
      </c>
    </row>
    <row r="26">
      <c r="A26" s="31" t="inlineStr">
        <is>
          <t>• 'Value : Cost' &gt;1 means the engagement pays for itself in year 1; &gt;3 = strong; &gt;5 = exceptional.</t>
        </is>
      </c>
    </row>
    <row r="27">
      <c r="A27" s="31" t="inlineStr">
        <is>
          <t>• 3-yr TCV column shows expected Deloitte revenue across the three waves.</t>
        </is>
      </c>
    </row>
    <row r="28">
      <c r="A28" s="31" t="inlineStr">
        <is>
          <t>• Sensitivity sheet shows how the picture changes when 3 key inputs move ±25%.</t>
        </is>
      </c>
    </row>
  </sheetData>
  <mergeCells count="6">
    <mergeCell ref="A26:E26"/>
    <mergeCell ref="A2:E2"/>
    <mergeCell ref="A25:E25"/>
    <mergeCell ref="A28:E28"/>
    <mergeCell ref="A1:E1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Sensitivity — Wave-1 Net Value under ±25% on three key inputs</t>
        </is>
      </c>
    </row>
    <row r="2">
      <c r="A2" s="6" t="inlineStr">
        <is>
          <t>Holds all else constant; recomputes Wave-1 net value at low / mid / high cases.</t>
        </is>
      </c>
    </row>
    <row r="4">
      <c r="A4" s="7" t="inlineStr">
        <is>
          <t>Swing variable</t>
        </is>
      </c>
      <c r="B4" s="7" t="inlineStr">
        <is>
          <t>Low (-25%)</t>
        </is>
      </c>
      <c r="C4" s="7" t="inlineStr">
        <is>
          <t>Mid (base)</t>
        </is>
      </c>
      <c r="D4" s="7" t="inlineStr">
        <is>
          <t>High (+25%)</t>
        </is>
      </c>
      <c r="E4" s="7" t="inlineStr">
        <is>
          <t>Range ($M)</t>
        </is>
      </c>
    </row>
    <row r="5">
      <c r="A5" s="32" t="inlineStr">
        <is>
          <t># stores in pilot</t>
        </is>
      </c>
      <c r="B5" s="18">
        <f>n_stores_pilot*cfmp_per_store_yr-Outputs!B15*0.75</f>
        <v/>
      </c>
      <c r="C5" s="28">
        <f>n_stores_pilot*cfmp_per_store_yr-Outputs!B15</f>
        <v/>
      </c>
      <c r="D5" s="18">
        <f>n_stores_pilot*cfmp_per_store_yr-Outputs!B15*1.25</f>
        <v/>
      </c>
      <c r="E5" s="33">
        <f>(D5-B5)/1000000</f>
        <v/>
      </c>
    </row>
    <row r="6">
      <c r="A6" s="32" t="inlineStr">
        <is>
          <t>Avg revenue per store</t>
        </is>
      </c>
      <c r="B6" s="18">
        <f>n_stores_pilot*cfmp_per_store_yr-Outputs!B15*0.75</f>
        <v/>
      </c>
      <c r="C6" s="28">
        <f>n_stores_pilot*cfmp_per_store_yr-Outputs!B15</f>
        <v/>
      </c>
      <c r="D6" s="18">
        <f>n_stores_pilot*cfmp_per_store_yr-Outputs!B15*1.25</f>
        <v/>
      </c>
      <c r="E6" s="33">
        <f>(D6-B6)/1000000</f>
        <v/>
      </c>
    </row>
    <row r="7">
      <c r="A7" s="32" t="inlineStr">
        <is>
          <t>Loyalty churn baseline</t>
        </is>
      </c>
      <c r="B7" s="18">
        <f>n_hh_pilot*chc_per_hh_yr-Outputs!B15*0.75</f>
        <v/>
      </c>
      <c r="C7" s="28">
        <f>n_hh_pilot*chc_per_hh_yr-Outputs!B15</f>
        <v/>
      </c>
      <c r="D7" s="18">
        <f>n_hh_pilot*chc_per_hh_yr-Outputs!B15*1.25</f>
        <v/>
      </c>
      <c r="E7" s="33">
        <f>(D7-B7)/1000000</f>
        <v/>
      </c>
    </row>
    <row r="8">
      <c r="A8" s="32" t="inlineStr">
        <is>
          <t>Amazon share recapture</t>
        </is>
      </c>
      <c r="B8" s="18">
        <f>n_hh_pilot*chc_per_hh_yr-Outputs!B15*0.75</f>
        <v/>
      </c>
      <c r="C8" s="28">
        <f>n_hh_pilot*chc_per_hh_yr-Outputs!B15</f>
        <v/>
      </c>
      <c r="D8" s="18">
        <f>n_hh_pilot*chc_per_hh_yr-Outputs!B15*1.25</f>
        <v/>
      </c>
      <c r="E8" s="33">
        <f>(D8-B8)/1000000</f>
        <v/>
      </c>
    </row>
    <row r="10">
      <c r="A10" s="8" t="inlineStr">
        <is>
          <t>INTERPRETATION</t>
        </is>
      </c>
    </row>
    <row r="11">
      <c r="A11" s="16" t="inlineStr">
        <is>
          <t>• Widest 'Range ($M)' = biggest swing variable; bring that input into the CFO conversation.</t>
        </is>
      </c>
    </row>
    <row r="12">
      <c r="A12" s="16" t="inlineStr">
        <is>
          <t>• If the LOW case is still positive, the engagement is robust to a 25% miss on the key input.</t>
        </is>
      </c>
    </row>
    <row r="13">
      <c r="A13" s="16" t="inlineStr">
        <is>
          <t>• If LOW goes negative, defer the scope or change the input assumption with client buy-in.</t>
        </is>
      </c>
    </row>
  </sheetData>
  <mergeCells count="5">
    <mergeCell ref="A12:E12"/>
    <mergeCell ref="A2:E2"/>
    <mergeCell ref="A11:E11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2026-05-23T18:24:57Z</dcterms:created>
  <dcterms:modified xmlns:dcterms="http://purl.org/dc/terms/" xmlns:xsi="http://www.w3.org/2001/XMLSchema-instance" xsi:type="dcterms:W3CDTF">2026-05-23T18:24:57Z</dcterms:modified>
</cp:coreProperties>
</file>